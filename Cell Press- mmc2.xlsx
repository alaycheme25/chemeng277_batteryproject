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et\Desktop\MEET\Publications &amp; Presentations\Publikationen\--- Published Work ---\2018\2018-08_Review_Dual-ion_Joule\2-ACCEPTED ARTICLE\"/>
    </mc:Choice>
  </mc:AlternateContent>
  <bookViews>
    <workbookView xWindow="0" yWindow="0" windowWidth="28800" windowHeight="12435" tabRatio="500"/>
  </bookViews>
  <sheets>
    <sheet name="Energy and Cost" sheetId="1" r:id="rId1"/>
    <sheet name="From Stack to Cell " sheetId="15" r:id="rId2"/>
    <sheet name="Mass and Volume Share" sheetId="17" r:id="rId3"/>
    <sheet name="Electrolyte Costs" sheetId="13" r:id="rId4"/>
    <sheet name="Separator thickness" sheetId="18" r:id="rId5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" i="18" l="1"/>
  <c r="B2" i="18"/>
  <c r="B3" i="18"/>
  <c r="B9" i="18"/>
  <c r="G6" i="18"/>
  <c r="B4" i="18"/>
  <c r="B5" i="18"/>
  <c r="B7" i="18"/>
  <c r="E27" i="1"/>
  <c r="E26" i="1"/>
  <c r="C27" i="1"/>
  <c r="C26" i="1"/>
  <c r="C18" i="1"/>
  <c r="U5" i="1"/>
  <c r="H8" i="1"/>
  <c r="L8" i="1"/>
  <c r="H13" i="1"/>
  <c r="L13" i="1"/>
  <c r="K8" i="1"/>
  <c r="M8" i="1"/>
  <c r="E39" i="1"/>
  <c r="H39" i="1"/>
  <c r="K13" i="1"/>
  <c r="M13" i="1"/>
  <c r="F39" i="1"/>
  <c r="K39" i="1"/>
  <c r="N39" i="1"/>
  <c r="P39" i="1"/>
  <c r="X39" i="1"/>
  <c r="V39" i="1"/>
  <c r="H7" i="1"/>
  <c r="L7" i="1"/>
  <c r="H12" i="1"/>
  <c r="L12" i="1"/>
  <c r="K7" i="1"/>
  <c r="M7" i="1"/>
  <c r="E38" i="1"/>
  <c r="H38" i="1"/>
  <c r="K12" i="1"/>
  <c r="M12" i="1"/>
  <c r="F38" i="1"/>
  <c r="K38" i="1"/>
  <c r="N38" i="1"/>
  <c r="P38" i="1"/>
  <c r="X38" i="1"/>
  <c r="V38" i="1"/>
  <c r="C19" i="1"/>
  <c r="L11" i="1"/>
  <c r="E37" i="1"/>
  <c r="L37" i="1"/>
  <c r="H37" i="1"/>
  <c r="M11" i="1"/>
  <c r="F37" i="1"/>
  <c r="K37" i="1"/>
  <c r="N37" i="1"/>
  <c r="P37" i="1"/>
  <c r="X37" i="1"/>
  <c r="V37" i="1"/>
  <c r="G20" i="1"/>
  <c r="G22" i="1"/>
  <c r="H22" i="1"/>
  <c r="H21" i="1"/>
  <c r="H20" i="1"/>
  <c r="B20" i="13"/>
  <c r="E22" i="1"/>
  <c r="K36" i="1"/>
  <c r="T5" i="1"/>
  <c r="H6" i="1"/>
  <c r="L6" i="1"/>
  <c r="H10" i="1"/>
  <c r="L10" i="1"/>
  <c r="K6" i="1"/>
  <c r="M6" i="1"/>
  <c r="E36" i="1"/>
  <c r="H36" i="1"/>
  <c r="K10" i="1"/>
  <c r="M10" i="1"/>
  <c r="F36" i="1"/>
  <c r="N36" i="1"/>
  <c r="P36" i="1"/>
  <c r="X36" i="1"/>
  <c r="D36" i="1"/>
  <c r="D38" i="1"/>
  <c r="G38" i="1"/>
  <c r="R38" i="1"/>
  <c r="G37" i="1"/>
  <c r="R37" i="1"/>
  <c r="G36" i="1"/>
  <c r="R36" i="1"/>
  <c r="G39" i="1"/>
  <c r="R39" i="1"/>
  <c r="D37" i="1"/>
  <c r="Q37" i="1"/>
  <c r="S39" i="1"/>
  <c r="S38" i="1"/>
  <c r="S37" i="1"/>
  <c r="S36" i="1"/>
  <c r="D39" i="1"/>
  <c r="Q39" i="1"/>
  <c r="Q38" i="1"/>
  <c r="Q36" i="1"/>
  <c r="C9" i="17"/>
  <c r="C8" i="17"/>
  <c r="D8" i="17"/>
  <c r="E8" i="17"/>
  <c r="F8" i="17"/>
  <c r="G8" i="17"/>
  <c r="H8" i="17"/>
  <c r="D9" i="17"/>
  <c r="E9" i="17"/>
  <c r="F9" i="17"/>
  <c r="G9" i="17"/>
  <c r="H9" i="17"/>
  <c r="E13" i="15"/>
  <c r="G13" i="15"/>
  <c r="I3" i="17"/>
  <c r="C3" i="17"/>
  <c r="D3" i="17"/>
  <c r="E3" i="17"/>
  <c r="F3" i="17"/>
  <c r="G3" i="17"/>
  <c r="H3" i="17"/>
  <c r="E16" i="15"/>
  <c r="G16" i="15"/>
  <c r="C4" i="17"/>
  <c r="D4" i="17"/>
  <c r="E4" i="17"/>
  <c r="F4" i="17"/>
  <c r="G4" i="17"/>
  <c r="H4" i="17"/>
  <c r="I4" i="17"/>
  <c r="Y38" i="1"/>
  <c r="E3" i="15"/>
  <c r="E15" i="15"/>
  <c r="E14" i="15"/>
  <c r="G3" i="15"/>
  <c r="I9" i="17"/>
  <c r="I8" i="17"/>
  <c r="Y37" i="1"/>
  <c r="Y39" i="1"/>
  <c r="G15" i="15"/>
  <c r="I13" i="15"/>
  <c r="H13" i="15"/>
  <c r="G14" i="15"/>
  <c r="I14" i="15"/>
  <c r="H14" i="15"/>
  <c r="H15" i="15"/>
  <c r="I15" i="15"/>
  <c r="I16" i="15"/>
  <c r="H16" i="15"/>
  <c r="Z37" i="1"/>
  <c r="Z38" i="1"/>
  <c r="M37" i="1"/>
  <c r="E4" i="15"/>
  <c r="G4" i="15"/>
  <c r="E6" i="15"/>
  <c r="G6" i="15"/>
  <c r="I6" i="15"/>
  <c r="E5" i="15"/>
  <c r="G5" i="15"/>
  <c r="I5" i="15"/>
  <c r="I4" i="15"/>
  <c r="I3" i="15"/>
  <c r="H4" i="15"/>
  <c r="H5" i="15"/>
  <c r="H6" i="15"/>
  <c r="H3" i="15"/>
  <c r="C22" i="1"/>
  <c r="M38" i="1"/>
  <c r="M36" i="1"/>
  <c r="M39" i="1"/>
  <c r="O39" i="1"/>
  <c r="Z39" i="1"/>
  <c r="Z36" i="1"/>
  <c r="V36" i="1"/>
  <c r="H18" i="1"/>
  <c r="U39" i="1"/>
  <c r="T39" i="1"/>
  <c r="H19" i="1"/>
  <c r="U38" i="1"/>
  <c r="T38" i="1"/>
  <c r="U37" i="1"/>
  <c r="T37" i="1"/>
  <c r="U36" i="1"/>
  <c r="T36" i="1"/>
  <c r="B3" i="13"/>
  <c r="C28" i="1"/>
  <c r="Q13" i="1"/>
  <c r="J13" i="1"/>
  <c r="Q10" i="1"/>
  <c r="J10" i="1"/>
  <c r="H28" i="1"/>
  <c r="J8" i="1"/>
  <c r="Q8" i="1"/>
  <c r="E8" i="1"/>
  <c r="O13" i="1"/>
  <c r="J7" i="1"/>
  <c r="J12" i="1"/>
  <c r="Q12" i="1"/>
  <c r="Q7" i="1"/>
  <c r="O38" i="1"/>
  <c r="Q11" i="1"/>
  <c r="J11" i="1"/>
  <c r="W37" i="1"/>
  <c r="O37" i="1"/>
  <c r="C21" i="1"/>
  <c r="O10" i="1"/>
  <c r="N10" i="1"/>
  <c r="N13" i="1"/>
  <c r="B21" i="13"/>
  <c r="B22" i="13"/>
  <c r="B23" i="13"/>
  <c r="Q6" i="1"/>
  <c r="J6" i="1"/>
  <c r="O6" i="1"/>
  <c r="N6" i="1"/>
  <c r="E6" i="1"/>
  <c r="E7" i="1"/>
  <c r="E10" i="1"/>
  <c r="E13" i="1"/>
  <c r="W36" i="1"/>
  <c r="W38" i="1"/>
  <c r="W39" i="1"/>
  <c r="O11" i="1"/>
  <c r="E11" i="1"/>
  <c r="O36" i="1"/>
  <c r="N11" i="1"/>
</calcChain>
</file>

<file path=xl/sharedStrings.xml><?xml version="1.0" encoding="utf-8"?>
<sst xmlns="http://schemas.openxmlformats.org/spreadsheetml/2006/main" count="217" uniqueCount="178">
  <si>
    <t>Abbrev.</t>
  </si>
  <si>
    <t>Lithium Metal</t>
  </si>
  <si>
    <t>Li0</t>
  </si>
  <si>
    <t>Inactive</t>
  </si>
  <si>
    <t>Binder (Solef 5130)</t>
  </si>
  <si>
    <t>Pos. Active Mass Fraction</t>
  </si>
  <si>
    <t>Pos. Binder Mass Fraction</t>
  </si>
  <si>
    <t>Pos. Conductive Additive Mass Fraction</t>
  </si>
  <si>
    <t>Conductive Additive (Imerys C65)</t>
  </si>
  <si>
    <t>Separator (Celgard2320)</t>
  </si>
  <si>
    <t>Thickness (cm)</t>
  </si>
  <si>
    <t>Neg. Current Collector (Cu; per coated side)</t>
  </si>
  <si>
    <t>Pos. Current Collector (Al; per coated side)</t>
  </si>
  <si>
    <t>Electrode Porosity</t>
  </si>
  <si>
    <t>Nominal
Cell Voltage</t>
  </si>
  <si>
    <t>Pos. Electrode 
Thickness (µm)</t>
  </si>
  <si>
    <t>Neg. Electrode 
Thickness (µm)</t>
  </si>
  <si>
    <t>Total Stack
Thickness (cm)</t>
  </si>
  <si>
    <t>Total Stack Volumetric
Energy (Wh/L)</t>
  </si>
  <si>
    <t>Total Stack Gravimetric
Energy (Wh/kg)</t>
  </si>
  <si>
    <t>Li</t>
  </si>
  <si>
    <t>Practical Discharge Capacity
(mAh/g)</t>
  </si>
  <si>
    <t>Liquid Electrolyte (LP57)</t>
  </si>
  <si>
    <t>References</t>
  </si>
  <si>
    <t>Material Only Volumetric
Energy* (Wh/L)</t>
  </si>
  <si>
    <t>Reference</t>
  </si>
  <si>
    <t>Separator</t>
  </si>
  <si>
    <t>Costs ($/kg)</t>
  </si>
  <si>
    <t>A.M. Grav. Cost ($/kg)</t>
  </si>
  <si>
    <t>A.M. Grav. Cost ($/mL)</t>
  </si>
  <si>
    <t>Anode</t>
  </si>
  <si>
    <t>Cathode</t>
  </si>
  <si>
    <t>1,4$/m2</t>
  </si>
  <si>
    <r>
      <t xml:space="preserve">Berg, E. J., Villevieille, C., Streich, D., Trabesinger, S. &amp; Novák, P. Rechargeable Batteries: Grasping for the Limits of Chemistry. </t>
    </r>
    <r>
      <rPr>
        <i/>
        <sz val="12"/>
        <color theme="1"/>
        <rFont val="Calibri"/>
        <family val="2"/>
      </rPr>
      <t>J. Electrochem. Soc.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162,</t>
    </r>
    <r>
      <rPr>
        <sz val="12"/>
        <color theme="1"/>
        <rFont val="Calibri"/>
        <family val="2"/>
      </rPr>
      <t xml:space="preserve"> A2468–A2475 (2015).</t>
    </r>
  </si>
  <si>
    <r>
      <t xml:space="preserve">Gallagher, K. G. </t>
    </r>
    <r>
      <rPr>
        <i/>
        <sz val="12"/>
        <color theme="1"/>
        <rFont val="Calibri"/>
        <family val="2"/>
      </rPr>
      <t>et al.</t>
    </r>
    <r>
      <rPr>
        <sz val="12"/>
        <color theme="1"/>
        <rFont val="Calibri"/>
        <family val="2"/>
      </rPr>
      <t xml:space="preserve"> Quantifying the promise of lithium–air batteries for electric vehicles. </t>
    </r>
    <r>
      <rPr>
        <i/>
        <sz val="12"/>
        <color theme="1"/>
        <rFont val="Calibri"/>
        <family val="2"/>
      </rPr>
      <t>Energy Environ. Sci.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7,</t>
    </r>
    <r>
      <rPr>
        <sz val="12"/>
        <color theme="1"/>
        <rFont val="Calibri"/>
        <family val="2"/>
      </rPr>
      <t xml:space="preserve"> 1555 (2014).</t>
    </r>
  </si>
  <si>
    <r>
      <t xml:space="preserve">Ahmed, S., Nelson, P. A., Gallagher, K. G., Susarla, N. &amp; Dees, D. W. Cost and energy demand of producing nickel manganese cobalt cathode material for lithium ion batteries. </t>
    </r>
    <r>
      <rPr>
        <i/>
        <sz val="12"/>
        <color theme="1"/>
        <rFont val="Calibri"/>
        <family val="2"/>
      </rPr>
      <t>J. Power Sources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342,</t>
    </r>
    <r>
      <rPr>
        <sz val="12"/>
        <color theme="1"/>
        <rFont val="Calibri"/>
        <family val="2"/>
      </rPr>
      <t xml:space="preserve"> 733–740 (2017).</t>
    </r>
  </si>
  <si>
    <t>Material Only Gravimetric
Energy* (Wh/kg)</t>
  </si>
  <si>
    <t>LFP</t>
  </si>
  <si>
    <t>1500 YPY/kg (Takeshita)</t>
  </si>
  <si>
    <t>1250 YPY/kg (Takeshita)</t>
  </si>
  <si>
    <t>Materials Cost Evaluation Report, Argonne, 2002</t>
  </si>
  <si>
    <t>DEC</t>
  </si>
  <si>
    <t>DMC</t>
  </si>
  <si>
    <t>EMC</t>
  </si>
  <si>
    <t>EC</t>
  </si>
  <si>
    <t>LIB Sep. + Elyte</t>
  </si>
  <si>
    <t>DIB Sep. + Elyte</t>
  </si>
  <si>
    <t>LIB Graphite Anode</t>
  </si>
  <si>
    <t>Gr-A DIB</t>
  </si>
  <si>
    <t>Gr-A PIB</t>
  </si>
  <si>
    <t>Gr-A LIB</t>
  </si>
  <si>
    <t>Gr-C PIB</t>
  </si>
  <si>
    <t>PIB Sep. + Elyte</t>
  </si>
  <si>
    <t>Lithium Iron Oxide</t>
  </si>
  <si>
    <t>Total Cell Volumetric
Energy (Wh/L)</t>
  </si>
  <si>
    <t>Total Cell Gravimetric
Energy (Wh/kg)</t>
  </si>
  <si>
    <t>1M</t>
  </si>
  <si>
    <t>2M</t>
  </si>
  <si>
    <t>3M</t>
  </si>
  <si>
    <t>4M</t>
  </si>
  <si>
    <t>Cell housing</t>
  </si>
  <si>
    <t>Neg. current coll.</t>
  </si>
  <si>
    <t>Pos. current coll.</t>
  </si>
  <si>
    <t>Liquid electrolyte</t>
  </si>
  <si>
    <t>Spreadsheet for calculation of energy content and costs</t>
  </si>
  <si>
    <t>Active Materials</t>
  </si>
  <si>
    <t>Chemical Formula</t>
  </si>
  <si>
    <t>Electrode composition</t>
  </si>
  <si>
    <t>Dual Ion/Graphite Battery</t>
  </si>
  <si>
    <t>Lithium Ion Battery</t>
  </si>
  <si>
    <t>estimated values</t>
  </si>
  <si>
    <t>Anode/Cathode Combination</t>
  </si>
  <si>
    <t>Jelly Roll to 
Cell Mass Ratio</t>
  </si>
  <si>
    <t xml:space="preserve">Gr/Gr DIB </t>
  </si>
  <si>
    <t>Anode/Cathode 
Combination</t>
  </si>
  <si>
    <t>Jelly Roll to 
Cell Volume Ratio</t>
  </si>
  <si>
    <t>Separator thickness  (µm)</t>
  </si>
  <si>
    <t>Separator Porosity (%)</t>
  </si>
  <si>
    <t>Total cost / ($/kWh)</t>
  </si>
  <si>
    <t>Costs ($/kWh)</t>
  </si>
  <si>
    <t>Compenent</t>
  </si>
  <si>
    <t>Cost ($/kg)</t>
  </si>
  <si>
    <t>Elektrolyte</t>
  </si>
  <si>
    <t>Electrolyte Density SelectiLyte Datasheet 2010 Merck</t>
  </si>
  <si>
    <t>Thickness contribution to stack (cm)</t>
  </si>
  <si>
    <t>LFP/C LIB</t>
  </si>
  <si>
    <t>Gr/Li DIB</t>
  </si>
  <si>
    <t>Jelly Roll Mass (g)</t>
  </si>
  <si>
    <t>Cell Volumetric
Energy (Wh/L)</t>
  </si>
  <si>
    <t>Seprator thickness (µm)</t>
  </si>
  <si>
    <t>Elyte to Carbon ratio (µL/mg)</t>
  </si>
  <si>
    <t>Elyte Density (g/mL)</t>
  </si>
  <si>
    <t>Separator porosity (%)</t>
  </si>
  <si>
    <t>Cell Housing Mass (g)</t>
  </si>
  <si>
    <t xml:space="preserve">Conversion of energy content from stack to 18650 cell level </t>
  </si>
  <si>
    <t>Positives</t>
  </si>
  <si>
    <t>Negatives</t>
  </si>
  <si>
    <t>Costs ($/cm³)</t>
  </si>
  <si>
    <r>
      <t>LiC</t>
    </r>
    <r>
      <rPr>
        <vertAlign val="subscript"/>
        <sz val="12"/>
        <color theme="1"/>
        <rFont val="Calibri"/>
        <family val="2"/>
      </rPr>
      <t>6</t>
    </r>
  </si>
  <si>
    <r>
      <t>LiC</t>
    </r>
    <r>
      <rPr>
        <vertAlign val="subscript"/>
        <sz val="12"/>
        <color theme="1"/>
        <rFont val="Calibri"/>
        <family val="2"/>
        <scheme val="minor"/>
      </rPr>
      <t>6</t>
    </r>
  </si>
  <si>
    <r>
      <t>LiFePO</t>
    </r>
    <r>
      <rPr>
        <vertAlign val="subscript"/>
        <sz val="12"/>
        <color theme="1"/>
        <rFont val="Calibri"/>
        <family val="2"/>
      </rPr>
      <t>4</t>
    </r>
  </si>
  <si>
    <r>
      <t>PF</t>
    </r>
    <r>
      <rPr>
        <vertAlign val="subscript"/>
        <sz val="12"/>
        <color theme="1"/>
        <rFont val="Calibri"/>
        <family val="2"/>
      </rPr>
      <t>6x</t>
    </r>
    <r>
      <rPr>
        <sz val="12"/>
        <color theme="1"/>
        <rFont val="Calibri"/>
        <family val="2"/>
      </rPr>
      <t>C</t>
    </r>
    <r>
      <rPr>
        <vertAlign val="subscript"/>
        <sz val="12"/>
        <color theme="1"/>
        <rFont val="Calibri"/>
        <family val="2"/>
      </rPr>
      <t>16</t>
    </r>
  </si>
  <si>
    <r>
      <t>Gr-PF</t>
    </r>
    <r>
      <rPr>
        <vertAlign val="subscript"/>
        <sz val="12"/>
        <color theme="1"/>
        <rFont val="Calibri"/>
        <family val="2"/>
      </rPr>
      <t>6</t>
    </r>
  </si>
  <si>
    <t>A.M. Volumetric
Capacity (mAh/cm³)</t>
  </si>
  <si>
    <t>Crystallographic
Density (g/cm³)</t>
  </si>
  <si>
    <t>Composite Electrode Density
(g/cm³)</t>
  </si>
  <si>
    <t>Composite Electrode Charge Density
(mAh/cm³)</t>
  </si>
  <si>
    <t>Active Material Density in electrode (g/cm³)</t>
  </si>
  <si>
    <t>Volumetric
Capacity (mAh/cm³)</t>
  </si>
  <si>
    <r>
      <t>PF</t>
    </r>
    <r>
      <rPr>
        <vertAlign val="subscript"/>
        <sz val="12"/>
        <color theme="1"/>
        <rFont val="Calibri"/>
        <family val="2"/>
      </rPr>
      <t>6x</t>
    </r>
    <r>
      <rPr>
        <sz val="12"/>
        <color theme="1"/>
        <rFont val="Calibri"/>
        <family val="2"/>
      </rPr>
      <t>C</t>
    </r>
    <r>
      <rPr>
        <vertAlign val="subscript"/>
        <sz val="12"/>
        <color theme="1"/>
        <rFont val="Calibri"/>
        <family val="2"/>
      </rPr>
      <t>y</t>
    </r>
  </si>
  <si>
    <t>Spec. Mass (g/cm²)</t>
  </si>
  <si>
    <t>Density (g/cm³)</t>
  </si>
  <si>
    <r>
      <t>Liquid Electrolyte (4M LiPF</t>
    </r>
    <r>
      <rPr>
        <vertAlign val="subscript"/>
        <sz val="12"/>
        <color theme="1"/>
        <rFont val="Calibri"/>
        <family val="2"/>
      </rPr>
      <t>6</t>
    </r>
    <r>
      <rPr>
        <sz val="12"/>
        <color theme="1"/>
        <rFont val="Calibri"/>
        <family val="2"/>
      </rPr>
      <t xml:space="preserve"> in DMC)</t>
    </r>
  </si>
  <si>
    <r>
      <t>Liquid Electrolyte (4M KPF</t>
    </r>
    <r>
      <rPr>
        <vertAlign val="subscript"/>
        <sz val="12"/>
        <color theme="1"/>
        <rFont val="Calibri"/>
        <family val="2"/>
      </rPr>
      <t>6</t>
    </r>
    <r>
      <rPr>
        <sz val="12"/>
        <color theme="1"/>
        <rFont val="Calibri"/>
        <family val="2"/>
      </rPr>
      <t xml:space="preserve"> in DMC)</t>
    </r>
  </si>
  <si>
    <t>1,4$/m²</t>
  </si>
  <si>
    <t>Pos. Electrode 
Area Mass (mg/cm²)</t>
  </si>
  <si>
    <t>Pos. Electrode 
Area Capacity (mAh/cm²)</t>
  </si>
  <si>
    <t>Neg. Electrode 
Area Mass (mg/cm²)</t>
  </si>
  <si>
    <t>Neg. Electrode 
Area Capacity (mAh/cm²)</t>
  </si>
  <si>
    <t>Separator + Elyte Mass (g /cm²)</t>
  </si>
  <si>
    <t>Total Stack
Mass (mg/cm²)</t>
  </si>
  <si>
    <t>Stack energy (kWh/cm²)</t>
  </si>
  <si>
    <r>
      <t>Gr/Gr LiPF</t>
    </r>
    <r>
      <rPr>
        <vertAlign val="subscript"/>
        <sz val="12"/>
        <color theme="1"/>
        <rFont val="Calibri"/>
        <family val="2"/>
      </rPr>
      <t>6</t>
    </r>
    <r>
      <rPr>
        <sz val="12"/>
        <color theme="1"/>
        <rFont val="Calibri"/>
        <family val="2"/>
      </rPr>
      <t xml:space="preserve"> DGB</t>
    </r>
  </si>
  <si>
    <r>
      <t>Gr/Gr KPF</t>
    </r>
    <r>
      <rPr>
        <vertAlign val="subscript"/>
        <sz val="12"/>
        <color theme="1"/>
        <rFont val="Calibri"/>
        <family val="2"/>
      </rPr>
      <t>6</t>
    </r>
    <r>
      <rPr>
        <sz val="12"/>
        <color theme="1"/>
        <rFont val="Calibri"/>
        <family val="2"/>
      </rPr>
      <t xml:space="preserve"> DGB</t>
    </r>
  </si>
  <si>
    <r>
      <t>LiPF</t>
    </r>
    <r>
      <rPr>
        <b/>
        <vertAlign val="subscript"/>
        <sz val="12"/>
        <color theme="1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 xml:space="preserve"> salt concentration / mol</t>
    </r>
  </si>
  <si>
    <r>
      <t>Gr/Gr Dual Grapihite Battery with varying LiPF</t>
    </r>
    <r>
      <rPr>
        <b/>
        <vertAlign val="subscript"/>
        <sz val="12"/>
        <color theme="1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 xml:space="preserve"> concentration in electrolyte</t>
    </r>
  </si>
  <si>
    <t>Mass contribution to stack (mg/cm²)</t>
  </si>
  <si>
    <r>
      <t>LiPF</t>
    </r>
    <r>
      <rPr>
        <vertAlign val="subscript"/>
        <sz val="11"/>
        <color theme="1"/>
        <rFont val="Calibri"/>
        <family val="2"/>
        <scheme val="minor"/>
      </rPr>
      <t>6</t>
    </r>
  </si>
  <si>
    <r>
      <t>KPF</t>
    </r>
    <r>
      <rPr>
        <vertAlign val="subscript"/>
        <sz val="11"/>
        <color theme="1"/>
        <rFont val="Calibri"/>
        <family val="2"/>
        <scheme val="minor"/>
      </rPr>
      <t>6</t>
    </r>
  </si>
  <si>
    <r>
      <t>EC/DMC/EMC/VC-LiPF</t>
    </r>
    <r>
      <rPr>
        <b/>
        <vertAlign val="subscript"/>
        <sz val="11"/>
        <color theme="1"/>
        <rFont val="Calibri"/>
        <family val="2"/>
        <scheme val="minor"/>
      </rPr>
      <t>6</t>
    </r>
  </si>
  <si>
    <r>
      <t>EC:DMC 1:1, 1M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(LP30)</t>
    </r>
  </si>
  <si>
    <r>
      <t>EC:EMC 1:1, 1M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(LP50)</t>
    </r>
  </si>
  <si>
    <r>
      <t>EC:EMC 3:7, 1M LiPF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(LP57)</t>
    </r>
  </si>
  <si>
    <r>
      <t>Molar Mass of 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kg/mol</t>
    </r>
  </si>
  <si>
    <r>
      <t>Molar Mass of KPF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kg/mol</t>
    </r>
  </si>
  <si>
    <r>
      <t>1M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DMC</t>
    </r>
  </si>
  <si>
    <r>
      <t>2M LiPF</t>
    </r>
    <r>
      <rPr>
        <vertAlign val="subscript"/>
        <sz val="11"/>
        <color theme="1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in DMC</t>
    </r>
  </si>
  <si>
    <r>
      <t>3M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DMC</t>
    </r>
  </si>
  <si>
    <r>
      <t>4M LiPF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DMC</t>
    </r>
  </si>
  <si>
    <r>
      <t>EC:DEC-0.8M LiPF</t>
    </r>
    <r>
      <rPr>
        <b/>
        <vertAlign val="subscript"/>
        <sz val="11"/>
        <color theme="1"/>
        <rFont val="Calibri"/>
        <family val="2"/>
        <scheme val="minor"/>
      </rPr>
      <t>6</t>
    </r>
  </si>
  <si>
    <t>Concentration (mol/L)</t>
  </si>
  <si>
    <r>
      <t>LiPF</t>
    </r>
    <r>
      <rPr>
        <b/>
        <vertAlign val="subscript"/>
        <sz val="12"/>
        <color theme="1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 xml:space="preserve"> salt concentration / mol/L</t>
    </r>
  </si>
  <si>
    <r>
      <t>Average Discharge Potential vs. Li/Li</t>
    </r>
    <r>
      <rPr>
        <b/>
        <vertAlign val="superscript"/>
        <sz val="12"/>
        <color rgb="FF006100"/>
        <rFont val="Calibri"/>
        <family val="2"/>
        <scheme val="minor"/>
      </rPr>
      <t>+</t>
    </r>
    <r>
      <rPr>
        <b/>
        <sz val="12"/>
        <color rgb="FF006100"/>
        <rFont val="Calibri"/>
        <family val="2"/>
        <scheme val="minor"/>
      </rPr>
      <t xml:space="preserve"> (V)</t>
    </r>
  </si>
  <si>
    <t>Target electrolyte content (mg)</t>
  </si>
  <si>
    <t>Electrolyte in stack (mg/cm²)</t>
  </si>
  <si>
    <t xml:space="preserve">
Negative/Positive Capacity ratio</t>
  </si>
  <si>
    <t>Electrode Density
incl. electrolyte (g/cm³)</t>
  </si>
  <si>
    <r>
      <t>KC</t>
    </r>
    <r>
      <rPr>
        <vertAlign val="subscript"/>
        <sz val="12"/>
        <color theme="1"/>
        <rFont val="Calibri"/>
        <family val="2"/>
      </rPr>
      <t>8</t>
    </r>
  </si>
  <si>
    <t>Graphite Anode for K-DGBs</t>
  </si>
  <si>
    <t>Graphite Anode for Li-DIBs</t>
  </si>
  <si>
    <t>Graphite Cathode for K-DGBs</t>
  </si>
  <si>
    <t>Graphite Cathode for Li-DIBs/Li-DGBs</t>
  </si>
  <si>
    <t>Supporting Information for</t>
  </si>
  <si>
    <r>
      <t>Gr/Li Dual Ion Battery with LiPF</t>
    </r>
    <r>
      <rPr>
        <vertAlign val="subscript"/>
        <sz val="12"/>
        <color theme="1"/>
        <rFont val="Calibri"/>
        <family val="2"/>
      </rPr>
      <t>6</t>
    </r>
  </si>
  <si>
    <r>
      <t>Gr/Gr Dual Graphite Battery with LiPF</t>
    </r>
    <r>
      <rPr>
        <vertAlign val="subscript"/>
        <sz val="12"/>
        <color theme="1"/>
        <rFont val="Calibri"/>
        <family val="2"/>
      </rPr>
      <t>6</t>
    </r>
  </si>
  <si>
    <r>
      <t>Gr/Gr Dual Graphite Battery with KPF</t>
    </r>
    <r>
      <rPr>
        <vertAlign val="subscript"/>
        <sz val="12"/>
        <color theme="1"/>
        <rFont val="Calibri"/>
        <family val="2"/>
      </rPr>
      <t>6</t>
    </r>
  </si>
  <si>
    <t>Thick PP Separator (80% porosity)</t>
  </si>
  <si>
    <t>Porosity</t>
  </si>
  <si>
    <t>LFP/C Lithium Ion Battery</t>
  </si>
  <si>
    <t>COLLINS, D. Handbook of batteries and fuel cells By David Linden, 4th edition 2010 published by McGraw-Hill Book Company GmbH. Table 15.2 and Figure 15.3</t>
  </si>
  <si>
    <t>Active material loading cathode [g/cm2]</t>
  </si>
  <si>
    <r>
      <t xml:space="preserve">Intercalated ion mass for </t>
    </r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mg/cm2 active material  [mg]</t>
    </r>
  </si>
  <si>
    <t>Molar mass C16 [g/mol]</t>
  </si>
  <si>
    <t>120% intercalated ion mass (excess salt) [mg]</t>
  </si>
  <si>
    <t>Salt concentration [M/ml]</t>
  </si>
  <si>
    <t>Ion mass in electrodes [mg]</t>
  </si>
  <si>
    <t>Molar Mass LiPF6 [g/mol]</t>
  </si>
  <si>
    <t>Ion mass in electrolyte [mg]</t>
  </si>
  <si>
    <t>Anode thickness [µm]</t>
  </si>
  <si>
    <t>Porosity [%]</t>
  </si>
  <si>
    <t>Anode porosity [%]</t>
  </si>
  <si>
    <t>Layer thickness [µm]</t>
  </si>
  <si>
    <t>Electrolyte salt amount in anode [mg]</t>
  </si>
  <si>
    <t>Cathode thickness [µm]</t>
  </si>
  <si>
    <t>Total amount of electrolyte [µl]</t>
  </si>
  <si>
    <t>Cathode porosity [%]</t>
  </si>
  <si>
    <t>Electrolyte salt amount in cathode [mg]</t>
  </si>
  <si>
    <t>"Perspective on Performance, Cost and Technical Challenges for Practical Dual-Ion Batteries" by Placke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</si>
</sst>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0.00000"/>
    <numFmt numFmtId="167" formatCode="0.000"/>
    <numFmt numFmtId="168" formatCode="0.00000000"/>
    <numFmt numFmtId="169" formatCode="0.000000000"/>
  </numFmts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2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"/>
      <name val="Calibri"/>
      <family val="2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vertAlign val="subscript"/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vertAlign val="superscript"/>
      <sz val="12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0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/>
  </cellStyleXfs>
  <cellXfs count="141">
    <xf numFmtId="0" fontId="0" fillId="0" borderId="0" xfId="0"/>
    <xf numFmtId="0" fontId="0" fillId="0" borderId="0" xfId="0" applyFill="1"/>
    <xf numFmtId="0" fontId="8" fillId="0" borderId="0" xfId="0" applyFont="1" applyFill="1"/>
    <xf numFmtId="0" fontId="8" fillId="0" borderId="0" xfId="0" applyFont="1" applyAlignment="1">
      <alignment horizontal="right"/>
    </xf>
    <xf numFmtId="0" fontId="8" fillId="0" borderId="0" xfId="0" applyFont="1"/>
    <xf numFmtId="0" fontId="10" fillId="0" borderId="0" xfId="23" applyFont="1"/>
    <xf numFmtId="0" fontId="7" fillId="0" borderId="0" xfId="0" applyFont="1"/>
    <xf numFmtId="164" fontId="0" fillId="0" borderId="0" xfId="0" applyNumberFormat="1"/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7" fillId="0" borderId="0" xfId="0" applyFont="1" applyAlignment="1">
      <alignment wrapText="1"/>
    </xf>
    <xf numFmtId="1" fontId="8" fillId="0" borderId="0" xfId="0" applyNumberFormat="1" applyFont="1" applyFill="1"/>
    <xf numFmtId="2" fontId="8" fillId="0" borderId="0" xfId="0" applyNumberFormat="1" applyFont="1" applyFill="1"/>
    <xf numFmtId="164" fontId="8" fillId="0" borderId="0" xfId="0" applyNumberFormat="1" applyFont="1" applyFill="1"/>
    <xf numFmtId="165" fontId="8" fillId="0" borderId="0" xfId="0" applyNumberFormat="1" applyFont="1" applyFill="1"/>
    <xf numFmtId="166" fontId="8" fillId="0" borderId="0" xfId="0" applyNumberFormat="1" applyFont="1" applyFill="1"/>
    <xf numFmtId="2" fontId="8" fillId="0" borderId="0" xfId="0" applyNumberFormat="1" applyFont="1" applyFill="1" applyBorder="1"/>
    <xf numFmtId="0" fontId="8" fillId="0" borderId="0" xfId="0" applyFont="1" applyFill="1" applyBorder="1"/>
    <xf numFmtId="0" fontId="8" fillId="0" borderId="0" xfId="0" applyFont="1" applyFill="1" applyAlignment="1">
      <alignment horizontal="right"/>
    </xf>
    <xf numFmtId="0" fontId="13" fillId="0" borderId="0" xfId="0" applyFont="1"/>
    <xf numFmtId="0" fontId="7" fillId="2" borderId="1" xfId="0" applyFont="1" applyFill="1" applyBorder="1" applyAlignment="1">
      <alignment wrapText="1"/>
    </xf>
    <xf numFmtId="167" fontId="8" fillId="0" borderId="0" xfId="0" applyNumberFormat="1" applyFont="1" applyFill="1"/>
    <xf numFmtId="2" fontId="0" fillId="0" borderId="0" xfId="0" applyNumberFormat="1"/>
    <xf numFmtId="9" fontId="8" fillId="0" borderId="0" xfId="0" applyNumberFormat="1" applyFont="1" applyFill="1"/>
    <xf numFmtId="0" fontId="6" fillId="0" borderId="0" xfId="0" applyFont="1" applyFill="1" applyAlignment="1">
      <alignment wrapText="1"/>
    </xf>
    <xf numFmtId="0" fontId="16" fillId="0" borderId="0" xfId="1101"/>
    <xf numFmtId="164" fontId="16" fillId="0" borderId="0" xfId="1101" applyNumberFormat="1" applyAlignment="1">
      <alignment horizontal="left" indent="13"/>
    </xf>
    <xf numFmtId="0" fontId="17" fillId="0" borderId="0" xfId="1101" applyFont="1"/>
    <xf numFmtId="0" fontId="18" fillId="0" borderId="0" xfId="1101" applyFont="1"/>
    <xf numFmtId="164" fontId="8" fillId="0" borderId="0" xfId="0" applyNumberFormat="1" applyFont="1" applyFill="1" applyBorder="1"/>
    <xf numFmtId="0" fontId="17" fillId="0" borderId="0" xfId="0" applyFont="1"/>
    <xf numFmtId="168" fontId="8" fillId="0" borderId="0" xfId="0" applyNumberFormat="1" applyFont="1" applyFill="1" applyBorder="1"/>
    <xf numFmtId="167" fontId="0" fillId="0" borderId="0" xfId="0" applyNumberFormat="1"/>
    <xf numFmtId="0" fontId="3" fillId="2" borderId="1" xfId="0" applyFont="1" applyFill="1" applyBorder="1"/>
    <xf numFmtId="166" fontId="0" fillId="0" borderId="0" xfId="0" applyNumberFormat="1" applyFill="1"/>
    <xf numFmtId="164" fontId="0" fillId="0" borderId="0" xfId="0" applyNumberFormat="1" applyAlignment="1"/>
    <xf numFmtId="0" fontId="14" fillId="0" borderId="0" xfId="912" applyFill="1"/>
    <xf numFmtId="2" fontId="0" fillId="0" borderId="0" xfId="0" applyNumberFormat="1" applyFont="1" applyFill="1"/>
    <xf numFmtId="0" fontId="14" fillId="0" borderId="0" xfId="912" applyFill="1" applyBorder="1" applyAlignment="1">
      <alignment wrapText="1"/>
    </xf>
    <xf numFmtId="166" fontId="8" fillId="0" borderId="0" xfId="0" applyNumberFormat="1" applyFont="1" applyFill="1" applyBorder="1"/>
    <xf numFmtId="165" fontId="8" fillId="0" borderId="0" xfId="0" applyNumberFormat="1" applyFont="1" applyFill="1" applyBorder="1"/>
    <xf numFmtId="166" fontId="0" fillId="0" borderId="0" xfId="0" applyNumberFormat="1" applyFont="1" applyFill="1" applyBorder="1"/>
    <xf numFmtId="0" fontId="14" fillId="0" borderId="0" xfId="0" applyFont="1" applyFill="1" applyBorder="1" applyAlignment="1">
      <alignment wrapText="1"/>
    </xf>
    <xf numFmtId="1" fontId="0" fillId="0" borderId="0" xfId="0" applyNumberFormat="1" applyFill="1"/>
    <xf numFmtId="0" fontId="18" fillId="2" borderId="0" xfId="1101" applyFont="1" applyFill="1"/>
    <xf numFmtId="0" fontId="16" fillId="0" borderId="0" xfId="1101" applyFill="1"/>
    <xf numFmtId="164" fontId="16" fillId="0" borderId="0" xfId="1101" applyNumberFormat="1" applyFill="1" applyAlignment="1">
      <alignment horizontal="left" indent="13"/>
    </xf>
    <xf numFmtId="0" fontId="7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7" fillId="5" borderId="0" xfId="0" applyFont="1" applyFill="1" applyBorder="1" applyAlignment="1">
      <alignment wrapText="1"/>
    </xf>
    <xf numFmtId="0" fontId="8" fillId="4" borderId="0" xfId="0" applyFont="1" applyFill="1" applyAlignment="1">
      <alignment horizontal="right"/>
    </xf>
    <xf numFmtId="0" fontId="2" fillId="0" borderId="0" xfId="1101" applyFont="1"/>
    <xf numFmtId="0" fontId="2" fillId="0" borderId="0" xfId="1101" applyFont="1" applyFill="1"/>
    <xf numFmtId="0" fontId="7" fillId="5" borderId="2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1" fontId="7" fillId="6" borderId="4" xfId="0" applyNumberFormat="1" applyFont="1" applyFill="1" applyBorder="1"/>
    <xf numFmtId="1" fontId="7" fillId="6" borderId="5" xfId="0" applyNumberFormat="1" applyFont="1" applyFill="1" applyBorder="1"/>
    <xf numFmtId="1" fontId="7" fillId="6" borderId="6" xfId="0" applyNumberFormat="1" applyFont="1" applyFill="1" applyBorder="1"/>
    <xf numFmtId="1" fontId="7" fillId="6" borderId="7" xfId="0" applyNumberFormat="1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7" fillId="5" borderId="9" xfId="0" applyFont="1" applyFill="1" applyBorder="1" applyAlignment="1">
      <alignment wrapText="1"/>
    </xf>
    <xf numFmtId="0" fontId="7" fillId="5" borderId="10" xfId="0" applyFont="1" applyFill="1" applyBorder="1" applyAlignment="1">
      <alignment wrapText="1"/>
    </xf>
    <xf numFmtId="0" fontId="8" fillId="0" borderId="11" xfId="0" applyFont="1" applyFill="1" applyBorder="1"/>
    <xf numFmtId="0" fontId="8" fillId="0" borderId="12" xfId="0" applyFont="1" applyFill="1" applyBorder="1"/>
    <xf numFmtId="169" fontId="8" fillId="0" borderId="12" xfId="0" applyNumberFormat="1" applyFont="1" applyFill="1" applyBorder="1"/>
    <xf numFmtId="167" fontId="8" fillId="0" borderId="0" xfId="0" applyNumberFormat="1" applyFont="1" applyFill="1" applyBorder="1"/>
    <xf numFmtId="9" fontId="8" fillId="0" borderId="0" xfId="0" applyNumberFormat="1" applyFont="1" applyFill="1" applyBorder="1"/>
    <xf numFmtId="167" fontId="12" fillId="0" borderId="0" xfId="0" applyNumberFormat="1" applyFont="1" applyFill="1" applyBorder="1"/>
    <xf numFmtId="2" fontId="8" fillId="4" borderId="0" xfId="0" applyNumberFormat="1" applyFont="1" applyFill="1" applyBorder="1"/>
    <xf numFmtId="0" fontId="8" fillId="4" borderId="0" xfId="0" applyFont="1" applyFill="1" applyBorder="1"/>
    <xf numFmtId="0" fontId="8" fillId="0" borderId="13" xfId="0" applyFont="1" applyFill="1" applyBorder="1"/>
    <xf numFmtId="166" fontId="8" fillId="0" borderId="1" xfId="0" applyNumberFormat="1" applyFont="1" applyFill="1" applyBorder="1"/>
    <xf numFmtId="9" fontId="8" fillId="0" borderId="1" xfId="0" applyNumberFormat="1" applyFont="1" applyFill="1" applyBorder="1"/>
    <xf numFmtId="0" fontId="8" fillId="0" borderId="1" xfId="0" applyFont="1" applyFill="1" applyBorder="1"/>
    <xf numFmtId="167" fontId="12" fillId="4" borderId="1" xfId="0" applyNumberFormat="1" applyFont="1" applyFill="1" applyBorder="1"/>
    <xf numFmtId="169" fontId="8" fillId="0" borderId="14" xfId="0" applyNumberFormat="1" applyFont="1" applyFill="1" applyBorder="1"/>
    <xf numFmtId="0" fontId="26" fillId="2" borderId="8" xfId="912" applyFont="1" applyFill="1" applyBorder="1"/>
    <xf numFmtId="0" fontId="26" fillId="2" borderId="9" xfId="912" applyFont="1" applyFill="1" applyBorder="1"/>
    <xf numFmtId="0" fontId="26" fillId="2" borderId="9" xfId="912" applyFont="1" applyFill="1" applyBorder="1" applyAlignment="1">
      <alignment wrapText="1"/>
    </xf>
    <xf numFmtId="0" fontId="26" fillId="2" borderId="10" xfId="912" applyFont="1" applyFill="1" applyBorder="1" applyAlignment="1">
      <alignment wrapText="1"/>
    </xf>
    <xf numFmtId="0" fontId="7" fillId="2" borderId="11" xfId="0" applyFont="1" applyFill="1" applyBorder="1"/>
    <xf numFmtId="1" fontId="8" fillId="0" borderId="0" xfId="0" applyNumberFormat="1" applyFont="1" applyFill="1" applyBorder="1"/>
    <xf numFmtId="2" fontId="0" fillId="0" borderId="0" xfId="0" applyNumberFormat="1" applyFill="1" applyBorder="1"/>
    <xf numFmtId="167" fontId="8" fillId="0" borderId="12" xfId="0" applyNumberFormat="1" applyFont="1" applyFill="1" applyBorder="1"/>
    <xf numFmtId="0" fontId="0" fillId="0" borderId="0" xfId="0" applyFill="1" applyBorder="1"/>
    <xf numFmtId="0" fontId="0" fillId="0" borderId="11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9" fontId="0" fillId="0" borderId="0" xfId="0" applyNumberFormat="1" applyFont="1" applyFill="1" applyBorder="1"/>
    <xf numFmtId="164" fontId="0" fillId="0" borderId="0" xfId="0" applyNumberFormat="1" applyFont="1" applyFill="1" applyBorder="1"/>
    <xf numFmtId="167" fontId="0" fillId="0" borderId="12" xfId="0" applyNumberFormat="1" applyFont="1" applyFill="1" applyBorder="1"/>
    <xf numFmtId="1" fontId="15" fillId="0" borderId="0" xfId="0" applyNumberFormat="1" applyFont="1" applyFill="1" applyBorder="1"/>
    <xf numFmtId="2" fontId="15" fillId="0" borderId="0" xfId="0" applyNumberFormat="1" applyFont="1" applyFill="1" applyBorder="1"/>
    <xf numFmtId="0" fontId="15" fillId="0" borderId="0" xfId="0" applyFont="1" applyFill="1" applyBorder="1"/>
    <xf numFmtId="1" fontId="8" fillId="0" borderId="1" xfId="0" applyNumberFormat="1" applyFont="1" applyFill="1" applyBorder="1"/>
    <xf numFmtId="2" fontId="8" fillId="0" borderId="1" xfId="0" applyNumberFormat="1" applyFont="1" applyFill="1" applyBorder="1"/>
    <xf numFmtId="164" fontId="8" fillId="0" borderId="1" xfId="0" applyNumberFormat="1" applyFont="1" applyFill="1" applyBorder="1"/>
    <xf numFmtId="0" fontId="15" fillId="0" borderId="1" xfId="0" applyFont="1" applyFill="1" applyBorder="1"/>
    <xf numFmtId="167" fontId="8" fillId="0" borderId="14" xfId="0" applyNumberFormat="1" applyFont="1" applyFill="1" applyBorder="1"/>
    <xf numFmtId="0" fontId="7" fillId="5" borderId="16" xfId="0" applyFont="1" applyFill="1" applyBorder="1" applyAlignment="1">
      <alignment wrapText="1"/>
    </xf>
    <xf numFmtId="1" fontId="0" fillId="0" borderId="0" xfId="0" applyNumberFormat="1" applyFill="1" applyBorder="1"/>
    <xf numFmtId="0" fontId="7" fillId="5" borderId="17" xfId="0" applyFont="1" applyFill="1" applyBorder="1"/>
    <xf numFmtId="0" fontId="7" fillId="5" borderId="15" xfId="0" applyFont="1" applyFill="1" applyBorder="1"/>
    <xf numFmtId="9" fontId="8" fillId="0" borderId="12" xfId="0" applyNumberFormat="1" applyFont="1" applyFill="1" applyBorder="1"/>
    <xf numFmtId="9" fontId="14" fillId="0" borderId="12" xfId="912" applyNumberFormat="1" applyFill="1" applyBorder="1"/>
    <xf numFmtId="9" fontId="14" fillId="0" borderId="14" xfId="912" applyNumberFormat="1" applyFill="1" applyBorder="1"/>
    <xf numFmtId="2" fontId="8" fillId="0" borderId="0" xfId="0" applyNumberFormat="1" applyFont="1" applyFill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0" fontId="3" fillId="5" borderId="17" xfId="0" applyFont="1" applyFill="1" applyBorder="1"/>
    <xf numFmtId="0" fontId="3" fillId="2" borderId="9" xfId="0" applyFont="1" applyFill="1" applyBorder="1" applyAlignment="1">
      <alignment wrapText="1"/>
    </xf>
    <xf numFmtId="0" fontId="3" fillId="2" borderId="9" xfId="0" applyFont="1" applyFill="1" applyBorder="1"/>
    <xf numFmtId="0" fontId="19" fillId="2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0" xfId="0" applyFont="1" applyFill="1" applyBorder="1"/>
    <xf numFmtId="164" fontId="0" fillId="0" borderId="0" xfId="0" applyNumberFormat="1" applyFill="1" applyBorder="1"/>
    <xf numFmtId="167" fontId="0" fillId="0" borderId="0" xfId="0" applyNumberFormat="1" applyFill="1" applyBorder="1"/>
    <xf numFmtId="1" fontId="0" fillId="5" borderId="0" xfId="0" applyNumberFormat="1" applyFill="1" applyBorder="1"/>
    <xf numFmtId="0" fontId="0" fillId="0" borderId="12" xfId="0" applyFill="1" applyBorder="1"/>
    <xf numFmtId="164" fontId="0" fillId="0" borderId="1" xfId="0" applyNumberFormat="1" applyFill="1" applyBorder="1"/>
    <xf numFmtId="0" fontId="0" fillId="0" borderId="1" xfId="0" applyFill="1" applyBorder="1"/>
    <xf numFmtId="167" fontId="0" fillId="0" borderId="1" xfId="0" applyNumberFormat="1" applyFill="1" applyBorder="1"/>
    <xf numFmtId="1" fontId="0" fillId="5" borderId="1" xfId="0" applyNumberFormat="1" applyFill="1" applyBorder="1"/>
    <xf numFmtId="1" fontId="0" fillId="0" borderId="1" xfId="0" applyNumberFormat="1" applyFill="1" applyBorder="1"/>
    <xf numFmtId="2" fontId="0" fillId="0" borderId="1" xfId="0" applyNumberFormat="1" applyFill="1" applyBorder="1"/>
    <xf numFmtId="0" fontId="0" fillId="0" borderId="14" xfId="0" applyFill="1" applyBorder="1"/>
    <xf numFmtId="0" fontId="7" fillId="2" borderId="8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1" fontId="0" fillId="5" borderId="12" xfId="0" applyNumberFormat="1" applyFill="1" applyBorder="1"/>
    <xf numFmtId="1" fontId="0" fillId="5" borderId="14" xfId="0" applyNumberFormat="1" applyFill="1" applyBorder="1"/>
    <xf numFmtId="1" fontId="0" fillId="6" borderId="0" xfId="0" applyNumberFormat="1" applyFill="1" applyBorder="1"/>
    <xf numFmtId="1" fontId="0" fillId="6" borderId="1" xfId="0" applyNumberFormat="1" applyFill="1" applyBorder="1"/>
    <xf numFmtId="0" fontId="3" fillId="0" borderId="0" xfId="0" applyFont="1"/>
    <xf numFmtId="166" fontId="0" fillId="0" borderId="0" xfId="0" applyNumberFormat="1"/>
    <xf numFmtId="0" fontId="0" fillId="7" borderId="0" xfId="0" applyFill="1"/>
    <xf numFmtId="2" fontId="0" fillId="7" borderId="0" xfId="0" applyNumberFormat="1" applyFill="1"/>
    <xf numFmtId="0" fontId="18" fillId="0" borderId="0" xfId="0" applyFont="1"/>
    <xf numFmtId="2" fontId="18" fillId="0" borderId="0" xfId="0" applyNumberFormat="1" applyFont="1"/>
    <xf numFmtId="0" fontId="7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102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5" builtinId="9" hidden="1"/>
    <cellStyle name="Besuchter Hyperlink" xfId="27" builtinId="9" hidden="1"/>
    <cellStyle name="Besuchter Hyperlink" xfId="29" builtinId="9" hidden="1"/>
    <cellStyle name="Besuchter Hyperlink" xfId="31" builtinId="9" hidden="1"/>
    <cellStyle name="Besuchter Hyperlink" xfId="33" builtinId="9" hidden="1"/>
    <cellStyle name="Besuchter Hyperlink" xfId="35" builtinId="9" hidden="1"/>
    <cellStyle name="Besuchter Hyperlink" xfId="37" builtinId="9" hidden="1"/>
    <cellStyle name="Besuchter Hyperlink" xfId="39" builtinId="9" hidden="1"/>
    <cellStyle name="Besuchter Hyperlink" xfId="41" builtinId="9" hidden="1"/>
    <cellStyle name="Besuchter Hyperlink" xfId="43" builtinId="9" hidden="1"/>
    <cellStyle name="Besuchter Hyperlink" xfId="45" builtinId="9" hidden="1"/>
    <cellStyle name="Besuchter Hyperlink" xfId="47" builtinId="9" hidden="1"/>
    <cellStyle name="Besuchter Hyperlink" xfId="49" builtinId="9" hidden="1"/>
    <cellStyle name="Besuchter Hyperlink" xfId="51" builtinId="9" hidden="1"/>
    <cellStyle name="Besuchter Hyperlink" xfId="53" builtinId="9" hidden="1"/>
    <cellStyle name="Besuchter Hyperlink" xfId="55" builtinId="9" hidden="1"/>
    <cellStyle name="Besuchter Hyperlink" xfId="57" builtinId="9" hidden="1"/>
    <cellStyle name="Besuchter Hyperlink" xfId="59" builtinId="9" hidden="1"/>
    <cellStyle name="Besuchter Hyperlink" xfId="61" builtinId="9" hidden="1"/>
    <cellStyle name="Besuchter Hyperlink" xfId="63" builtinId="9" hidden="1"/>
    <cellStyle name="Besuchter Hyperlink" xfId="65" builtinId="9" hidden="1"/>
    <cellStyle name="Besuchter Hyperlink" xfId="67" builtinId="9" hidden="1"/>
    <cellStyle name="Besuchter Hyperlink" xfId="69" builtinId="9" hidden="1"/>
    <cellStyle name="Besuchter Hyperlink" xfId="71" builtinId="9" hidden="1"/>
    <cellStyle name="Besuchter Hyperlink" xfId="73" builtinId="9" hidden="1"/>
    <cellStyle name="Besuchter Hyperlink" xfId="75" builtinId="9" hidden="1"/>
    <cellStyle name="Besuchter Hyperlink" xfId="77" builtinId="9" hidden="1"/>
    <cellStyle name="Besuchter Hyperlink" xfId="79" builtinId="9" hidden="1"/>
    <cellStyle name="Besuchter Hyperlink" xfId="81" builtinId="9" hidden="1"/>
    <cellStyle name="Besuchter Hyperlink" xfId="83" builtinId="9" hidden="1"/>
    <cellStyle name="Besuchter Hyperlink" xfId="85" builtinId="9" hidden="1"/>
    <cellStyle name="Besuchter Hyperlink" xfId="87" builtinId="9" hidden="1"/>
    <cellStyle name="Besuchter Hyperlink" xfId="89" builtinId="9" hidden="1"/>
    <cellStyle name="Besuchter Hyperlink" xfId="91" builtinId="9" hidden="1"/>
    <cellStyle name="Besuchter Hyperlink" xfId="93" builtinId="9" hidden="1"/>
    <cellStyle name="Besuchter Hyperlink" xfId="95" builtinId="9" hidden="1"/>
    <cellStyle name="Besuchter Hyperlink" xfId="97" builtinId="9" hidden="1"/>
    <cellStyle name="Besuchter Hyperlink" xfId="99" builtinId="9" hidden="1"/>
    <cellStyle name="Besuchter Hyperlink" xfId="101" builtinId="9" hidden="1"/>
    <cellStyle name="Besuchter Hyperlink" xfId="103" builtinId="9" hidden="1"/>
    <cellStyle name="Besuchter Hyperlink" xfId="105" builtinId="9" hidden="1"/>
    <cellStyle name="Besuchter Hyperlink" xfId="107" builtinId="9" hidden="1"/>
    <cellStyle name="Besuchter Hyperlink" xfId="109" builtinId="9" hidden="1"/>
    <cellStyle name="Besuchter Hyperlink" xfId="111" builtinId="9" hidden="1"/>
    <cellStyle name="Besuchter Hyperlink" xfId="113" builtinId="9" hidden="1"/>
    <cellStyle name="Besuchter Hyperlink" xfId="115" builtinId="9" hidden="1"/>
    <cellStyle name="Besuchter Hyperlink" xfId="117" builtinId="9" hidden="1"/>
    <cellStyle name="Besuchter Hyperlink" xfId="119" builtinId="9" hidden="1"/>
    <cellStyle name="Besuchter Hyperlink" xfId="121" builtinId="9" hidden="1"/>
    <cellStyle name="Besuchter Hyperlink" xfId="123" builtinId="9" hidden="1"/>
    <cellStyle name="Besuchter Hyperlink" xfId="125" builtinId="9" hidden="1"/>
    <cellStyle name="Besuchter Hyperlink" xfId="127" builtinId="9" hidden="1"/>
    <cellStyle name="Besuchter Hyperlink" xfId="129" builtinId="9" hidden="1"/>
    <cellStyle name="Besuchter Hyperlink" xfId="131" builtinId="9" hidden="1"/>
    <cellStyle name="Besuchter Hyperlink" xfId="133" builtinId="9" hidden="1"/>
    <cellStyle name="Besuchter Hyperlink" xfId="135" builtinId="9" hidden="1"/>
    <cellStyle name="Besuchter Hyperlink" xfId="137" builtinId="9" hidden="1"/>
    <cellStyle name="Besuchter Hyperlink" xfId="139" builtinId="9" hidden="1"/>
    <cellStyle name="Besuchter Hyperlink" xfId="141" builtinId="9" hidden="1"/>
    <cellStyle name="Besuchter Hyperlink" xfId="143" builtinId="9" hidden="1"/>
    <cellStyle name="Besuchter Hyperlink" xfId="145" builtinId="9" hidden="1"/>
    <cellStyle name="Besuchter Hyperlink" xfId="147" builtinId="9" hidden="1"/>
    <cellStyle name="Besuchter Hyperlink" xfId="149" builtinId="9" hidden="1"/>
    <cellStyle name="Besuchter Hyperlink" xfId="151" builtinId="9" hidden="1"/>
    <cellStyle name="Besuchter Hyperlink" xfId="153" builtinId="9" hidden="1"/>
    <cellStyle name="Besuchter Hyperlink" xfId="155" builtinId="9" hidden="1"/>
    <cellStyle name="Besuchter Hyperlink" xfId="157" builtinId="9" hidden="1"/>
    <cellStyle name="Besuchter Hyperlink" xfId="159" builtinId="9" hidden="1"/>
    <cellStyle name="Besuchter Hyperlink" xfId="161" builtinId="9" hidden="1"/>
    <cellStyle name="Besuchter Hyperlink" xfId="163" builtinId="9" hidden="1"/>
    <cellStyle name="Besuchter Hyperlink" xfId="165" builtinId="9" hidden="1"/>
    <cellStyle name="Besuchter Hyperlink" xfId="167" builtinId="9" hidden="1"/>
    <cellStyle name="Besuchter Hyperlink" xfId="169" builtinId="9" hidden="1"/>
    <cellStyle name="Besuchter Hyperlink" xfId="171" builtinId="9" hidden="1"/>
    <cellStyle name="Besuchter Hyperlink" xfId="173" builtinId="9" hidden="1"/>
    <cellStyle name="Besuchter Hyperlink" xfId="175" builtinId="9" hidden="1"/>
    <cellStyle name="Besuchter Hyperlink" xfId="177" builtinId="9" hidden="1"/>
    <cellStyle name="Besuchter Hyperlink" xfId="179" builtinId="9" hidden="1"/>
    <cellStyle name="Besuchter Hyperlink" xfId="181" builtinId="9" hidden="1"/>
    <cellStyle name="Besuchter Hyperlink" xfId="183" builtinId="9" hidden="1"/>
    <cellStyle name="Besuchter Hyperlink" xfId="185" builtinId="9" hidden="1"/>
    <cellStyle name="Besuchter Hyperlink" xfId="187" builtinId="9" hidden="1"/>
    <cellStyle name="Besuchter Hyperlink" xfId="189" builtinId="9" hidden="1"/>
    <cellStyle name="Besuchter Hyperlink" xfId="191" builtinId="9" hidden="1"/>
    <cellStyle name="Besuchter Hyperlink" xfId="193" builtinId="9" hidden="1"/>
    <cellStyle name="Besuchter Hyperlink" xfId="195" builtinId="9" hidden="1"/>
    <cellStyle name="Besuchter Hyperlink" xfId="197" builtinId="9" hidden="1"/>
    <cellStyle name="Besuchter Hyperlink" xfId="199" builtinId="9" hidden="1"/>
    <cellStyle name="Besuchter Hyperlink" xfId="201" builtinId="9" hidden="1"/>
    <cellStyle name="Besuchter Hyperlink" xfId="203" builtinId="9" hidden="1"/>
    <cellStyle name="Besuchter Hyperlink" xfId="205" builtinId="9" hidden="1"/>
    <cellStyle name="Besuchter Hyperlink" xfId="207" builtinId="9" hidden="1"/>
    <cellStyle name="Besuchter Hyperlink" xfId="209" builtinId="9" hidden="1"/>
    <cellStyle name="Besuchter Hyperlink" xfId="211" builtinId="9" hidden="1"/>
    <cellStyle name="Besuchter Hyperlink" xfId="213" builtinId="9" hidden="1"/>
    <cellStyle name="Besuchter Hyperlink" xfId="215" builtinId="9" hidden="1"/>
    <cellStyle name="Besuchter Hyperlink" xfId="217" builtinId="9" hidden="1"/>
    <cellStyle name="Besuchter Hyperlink" xfId="219" builtinId="9" hidden="1"/>
    <cellStyle name="Besuchter Hyperlink" xfId="221" builtinId="9" hidden="1"/>
    <cellStyle name="Besuchter Hyperlink" xfId="223" builtinId="9" hidden="1"/>
    <cellStyle name="Besuchter Hyperlink" xfId="225" builtinId="9" hidden="1"/>
    <cellStyle name="Besuchter Hyperlink" xfId="227" builtinId="9" hidden="1"/>
    <cellStyle name="Besuchter Hyperlink" xfId="229" builtinId="9" hidden="1"/>
    <cellStyle name="Besuchter Hyperlink" xfId="231" builtinId="9" hidden="1"/>
    <cellStyle name="Besuchter Hyperlink" xfId="233" builtinId="9" hidden="1"/>
    <cellStyle name="Besuchter Hyperlink" xfId="235" builtinId="9" hidden="1"/>
    <cellStyle name="Besuchter Hyperlink" xfId="237" builtinId="9" hidden="1"/>
    <cellStyle name="Besuchter Hyperlink" xfId="239" builtinId="9" hidden="1"/>
    <cellStyle name="Besuchter Hyperlink" xfId="241" builtinId="9" hidden="1"/>
    <cellStyle name="Besuchter Hyperlink" xfId="243" builtinId="9" hidden="1"/>
    <cellStyle name="Besuchter Hyperlink" xfId="245" builtinId="9" hidden="1"/>
    <cellStyle name="Besuchter Hyperlink" xfId="247" builtinId="9" hidden="1"/>
    <cellStyle name="Besuchter Hyperlink" xfId="249" builtinId="9" hidden="1"/>
    <cellStyle name="Besuchter Hyperlink" xfId="251" builtinId="9" hidden="1"/>
    <cellStyle name="Besuchter Hyperlink" xfId="253" builtinId="9" hidden="1"/>
    <cellStyle name="Besuchter Hyperlink" xfId="255" builtinId="9" hidden="1"/>
    <cellStyle name="Besuchter Hyperlink" xfId="257" builtinId="9" hidden="1"/>
    <cellStyle name="Besuchter Hyperlink" xfId="259" builtinId="9" hidden="1"/>
    <cellStyle name="Besuchter Hyperlink" xfId="261" builtinId="9" hidden="1"/>
    <cellStyle name="Besuchter Hyperlink" xfId="263" builtinId="9" hidden="1"/>
    <cellStyle name="Besuchter Hyperlink" xfId="265" builtinId="9" hidden="1"/>
    <cellStyle name="Besuchter Hyperlink" xfId="267" builtinId="9" hidden="1"/>
    <cellStyle name="Besuchter Hyperlink" xfId="269" builtinId="9" hidden="1"/>
    <cellStyle name="Besuchter Hyperlink" xfId="271" builtinId="9" hidden="1"/>
    <cellStyle name="Besuchter Hyperlink" xfId="273" builtinId="9" hidden="1"/>
    <cellStyle name="Besuchter Hyperlink" xfId="275" builtinId="9" hidden="1"/>
    <cellStyle name="Besuchter Hyperlink" xfId="277" builtinId="9" hidden="1"/>
    <cellStyle name="Besuchter Hyperlink" xfId="279" builtinId="9" hidden="1"/>
    <cellStyle name="Besuchter Hyperlink" xfId="281" builtinId="9" hidden="1"/>
    <cellStyle name="Besuchter Hyperlink" xfId="283" builtinId="9" hidden="1"/>
    <cellStyle name="Besuchter Hyperlink" xfId="285" builtinId="9" hidden="1"/>
    <cellStyle name="Besuchter Hyperlink" xfId="287" builtinId="9" hidden="1"/>
    <cellStyle name="Besuchter Hyperlink" xfId="289" builtinId="9" hidden="1"/>
    <cellStyle name="Besuchter Hyperlink" xfId="291" builtinId="9" hidden="1"/>
    <cellStyle name="Besuchter Hyperlink" xfId="293" builtinId="9" hidden="1"/>
    <cellStyle name="Besuchter Hyperlink" xfId="295" builtinId="9" hidden="1"/>
    <cellStyle name="Besuchter Hyperlink" xfId="297" builtinId="9" hidden="1"/>
    <cellStyle name="Besuchter Hyperlink" xfId="299" builtinId="9" hidden="1"/>
    <cellStyle name="Besuchter Hyperlink" xfId="301" builtinId="9" hidden="1"/>
    <cellStyle name="Besuchter Hyperlink" xfId="303" builtinId="9" hidden="1"/>
    <cellStyle name="Besuchter Hyperlink" xfId="305" builtinId="9" hidden="1"/>
    <cellStyle name="Besuchter Hyperlink" xfId="307" builtinId="9" hidden="1"/>
    <cellStyle name="Besuchter Hyperlink" xfId="309" builtinId="9" hidden="1"/>
    <cellStyle name="Besuchter Hyperlink" xfId="311" builtinId="9" hidden="1"/>
    <cellStyle name="Besuchter Hyperlink" xfId="313" builtinId="9" hidden="1"/>
    <cellStyle name="Besuchter Hyperlink" xfId="315" builtinId="9" hidden="1"/>
    <cellStyle name="Besuchter Hyperlink" xfId="317" builtinId="9" hidden="1"/>
    <cellStyle name="Besuchter Hyperlink" xfId="319" builtinId="9" hidden="1"/>
    <cellStyle name="Besuchter Hyperlink" xfId="321" builtinId="9" hidden="1"/>
    <cellStyle name="Besuchter Hyperlink" xfId="323" builtinId="9" hidden="1"/>
    <cellStyle name="Besuchter Hyperlink" xfId="325" builtinId="9" hidden="1"/>
    <cellStyle name="Besuchter Hyperlink" xfId="327" builtinId="9" hidden="1"/>
    <cellStyle name="Besuchter Hyperlink" xfId="329" builtinId="9" hidden="1"/>
    <cellStyle name="Besuchter Hyperlink" xfId="331" builtinId="9" hidden="1"/>
    <cellStyle name="Besuchter Hyperlink" xfId="333" builtinId="9" hidden="1"/>
    <cellStyle name="Besuchter Hyperlink" xfId="335" builtinId="9" hidden="1"/>
    <cellStyle name="Besuchter Hyperlink" xfId="337" builtinId="9" hidden="1"/>
    <cellStyle name="Besuchter Hyperlink" xfId="339" builtinId="9" hidden="1"/>
    <cellStyle name="Besuchter Hyperlink" xfId="341" builtinId="9" hidden="1"/>
    <cellStyle name="Besuchter Hyperlink" xfId="343" builtinId="9" hidden="1"/>
    <cellStyle name="Besuchter Hyperlink" xfId="345" builtinId="9" hidden="1"/>
    <cellStyle name="Besuchter Hyperlink" xfId="347" builtinId="9" hidden="1"/>
    <cellStyle name="Besuchter Hyperlink" xfId="349" builtinId="9" hidden="1"/>
    <cellStyle name="Besuchter Hyperlink" xfId="351" builtinId="9" hidden="1"/>
    <cellStyle name="Besuchter Hyperlink" xfId="353" builtinId="9" hidden="1"/>
    <cellStyle name="Besuchter Hyperlink" xfId="355" builtinId="9" hidden="1"/>
    <cellStyle name="Besuchter Hyperlink" xfId="357" builtinId="9" hidden="1"/>
    <cellStyle name="Besuchter Hyperlink" xfId="359" builtinId="9" hidden="1"/>
    <cellStyle name="Besuchter Hyperlink" xfId="361" builtinId="9" hidden="1"/>
    <cellStyle name="Besuchter Hyperlink" xfId="363" builtinId="9" hidden="1"/>
    <cellStyle name="Besuchter Hyperlink" xfId="365" builtinId="9" hidden="1"/>
    <cellStyle name="Besuchter Hyperlink" xfId="367" builtinId="9" hidden="1"/>
    <cellStyle name="Besuchter Hyperlink" xfId="369" builtinId="9" hidden="1"/>
    <cellStyle name="Besuchter Hyperlink" xfId="371" builtinId="9" hidden="1"/>
    <cellStyle name="Besuchter Hyperlink" xfId="373" builtinId="9" hidden="1"/>
    <cellStyle name="Besuchter Hyperlink" xfId="375" builtinId="9" hidden="1"/>
    <cellStyle name="Besuchter Hyperlink" xfId="377" builtinId="9" hidden="1"/>
    <cellStyle name="Besuchter Hyperlink" xfId="379" builtinId="9" hidden="1"/>
    <cellStyle name="Besuchter Hyperlink" xfId="381" builtinId="9" hidden="1"/>
    <cellStyle name="Besuchter Hyperlink" xfId="383" builtinId="9" hidden="1"/>
    <cellStyle name="Besuchter Hyperlink" xfId="385" builtinId="9" hidden="1"/>
    <cellStyle name="Besuchter Hyperlink" xfId="387" builtinId="9" hidden="1"/>
    <cellStyle name="Besuchter Hyperlink" xfId="389" builtinId="9" hidden="1"/>
    <cellStyle name="Besuchter Hyperlink" xfId="391" builtinId="9" hidden="1"/>
    <cellStyle name="Besuchter Hyperlink" xfId="393" builtinId="9" hidden="1"/>
    <cellStyle name="Besuchter Hyperlink" xfId="395" builtinId="9" hidden="1"/>
    <cellStyle name="Besuchter Hyperlink" xfId="397" builtinId="9" hidden="1"/>
    <cellStyle name="Besuchter Hyperlink" xfId="399" builtinId="9" hidden="1"/>
    <cellStyle name="Besuchter Hyperlink" xfId="401" builtinId="9" hidden="1"/>
    <cellStyle name="Besuchter Hyperlink" xfId="403" builtinId="9" hidden="1"/>
    <cellStyle name="Besuchter Hyperlink" xfId="405" builtinId="9" hidden="1"/>
    <cellStyle name="Besuchter Hyperlink" xfId="407" builtinId="9" hidden="1"/>
    <cellStyle name="Besuchter Hyperlink" xfId="409" builtinId="9" hidden="1"/>
    <cellStyle name="Besuchter Hyperlink" xfId="411" builtinId="9" hidden="1"/>
    <cellStyle name="Besuchter Hyperlink" xfId="413" builtinId="9" hidden="1"/>
    <cellStyle name="Besuchter Hyperlink" xfId="415" builtinId="9" hidden="1"/>
    <cellStyle name="Besuchter Hyperlink" xfId="417" builtinId="9" hidden="1"/>
    <cellStyle name="Besuchter Hyperlink" xfId="419" builtinId="9" hidden="1"/>
    <cellStyle name="Besuchter Hyperlink" xfId="421" builtinId="9" hidden="1"/>
    <cellStyle name="Besuchter Hyperlink" xfId="423" builtinId="9" hidden="1"/>
    <cellStyle name="Besuchter Hyperlink" xfId="425" builtinId="9" hidden="1"/>
    <cellStyle name="Besuchter Hyperlink" xfId="427" builtinId="9" hidden="1"/>
    <cellStyle name="Besuchter Hyperlink" xfId="429" builtinId="9" hidden="1"/>
    <cellStyle name="Besuchter Hyperlink" xfId="431" builtinId="9" hidden="1"/>
    <cellStyle name="Besuchter Hyperlink" xfId="433" builtinId="9" hidden="1"/>
    <cellStyle name="Besuchter Hyperlink" xfId="435" builtinId="9" hidden="1"/>
    <cellStyle name="Besuchter Hyperlink" xfId="437" builtinId="9" hidden="1"/>
    <cellStyle name="Besuchter Hyperlink" xfId="439" builtinId="9" hidden="1"/>
    <cellStyle name="Besuchter Hyperlink" xfId="441" builtinId="9" hidden="1"/>
    <cellStyle name="Besuchter Hyperlink" xfId="443" builtinId="9" hidden="1"/>
    <cellStyle name="Besuchter Hyperlink" xfId="445" builtinId="9" hidden="1"/>
    <cellStyle name="Besuchter Hyperlink" xfId="447" builtinId="9" hidden="1"/>
    <cellStyle name="Besuchter Hyperlink" xfId="449" builtinId="9" hidden="1"/>
    <cellStyle name="Besuchter Hyperlink" xfId="451" builtinId="9" hidden="1"/>
    <cellStyle name="Besuchter Hyperlink" xfId="453" builtinId="9" hidden="1"/>
    <cellStyle name="Besuchter Hyperlink" xfId="455" builtinId="9" hidden="1"/>
    <cellStyle name="Besuchter Hyperlink" xfId="457" builtinId="9" hidden="1"/>
    <cellStyle name="Besuchter Hyperlink" xfId="459" builtinId="9" hidden="1"/>
    <cellStyle name="Besuchter Hyperlink" xfId="461" builtinId="9" hidden="1"/>
    <cellStyle name="Besuchter Hyperlink" xfId="463" builtinId="9" hidden="1"/>
    <cellStyle name="Besuchter Hyperlink" xfId="465" builtinId="9" hidden="1"/>
    <cellStyle name="Besuchter Hyperlink" xfId="467" builtinId="9" hidden="1"/>
    <cellStyle name="Besuchter Hyperlink" xfId="469" builtinId="9" hidden="1"/>
    <cellStyle name="Besuchter Hyperlink" xfId="471" builtinId="9" hidden="1"/>
    <cellStyle name="Besuchter Hyperlink" xfId="473" builtinId="9" hidden="1"/>
    <cellStyle name="Besuchter Hyperlink" xfId="475" builtinId="9" hidden="1"/>
    <cellStyle name="Besuchter Hyperlink" xfId="477" builtinId="9" hidden="1"/>
    <cellStyle name="Besuchter Hyperlink" xfId="479" builtinId="9" hidden="1"/>
    <cellStyle name="Besuchter Hyperlink" xfId="481" builtinId="9" hidden="1"/>
    <cellStyle name="Besuchter Hyperlink" xfId="483" builtinId="9" hidden="1"/>
    <cellStyle name="Besuchter Hyperlink" xfId="485" builtinId="9" hidden="1"/>
    <cellStyle name="Besuchter Hyperlink" xfId="487" builtinId="9" hidden="1"/>
    <cellStyle name="Besuchter Hyperlink" xfId="489" builtinId="9" hidden="1"/>
    <cellStyle name="Besuchter Hyperlink" xfId="491" builtinId="9" hidden="1"/>
    <cellStyle name="Besuchter Hyperlink" xfId="493" builtinId="9" hidden="1"/>
    <cellStyle name="Besuchter Hyperlink" xfId="495" builtinId="9" hidden="1"/>
    <cellStyle name="Besuchter Hyperlink" xfId="497" builtinId="9" hidden="1"/>
    <cellStyle name="Besuchter Hyperlink" xfId="499" builtinId="9" hidden="1"/>
    <cellStyle name="Besuchter Hyperlink" xfId="501" builtinId="9" hidden="1"/>
    <cellStyle name="Besuchter Hyperlink" xfId="503" builtinId="9" hidden="1"/>
    <cellStyle name="Besuchter Hyperlink" xfId="505" builtinId="9" hidden="1"/>
    <cellStyle name="Besuchter Hyperlink" xfId="507" builtinId="9" hidden="1"/>
    <cellStyle name="Besuchter Hyperlink" xfId="509" builtinId="9" hidden="1"/>
    <cellStyle name="Besuchter Hyperlink" xfId="511" builtinId="9" hidden="1"/>
    <cellStyle name="Besuchter Hyperlink" xfId="513" builtinId="9" hidden="1"/>
    <cellStyle name="Besuchter Hyperlink" xfId="515" builtinId="9" hidden="1"/>
    <cellStyle name="Besuchter Hyperlink" xfId="517" builtinId="9" hidden="1"/>
    <cellStyle name="Besuchter Hyperlink" xfId="519" builtinId="9" hidden="1"/>
    <cellStyle name="Besuchter Hyperlink" xfId="521" builtinId="9" hidden="1"/>
    <cellStyle name="Besuchter Hyperlink" xfId="523" builtinId="9" hidden="1"/>
    <cellStyle name="Besuchter Hyperlink" xfId="525" builtinId="9" hidden="1"/>
    <cellStyle name="Besuchter Hyperlink" xfId="527" builtinId="9" hidden="1"/>
    <cellStyle name="Besuchter Hyperlink" xfId="529" builtinId="9" hidden="1"/>
    <cellStyle name="Besuchter Hyperlink" xfId="531" builtinId="9" hidden="1"/>
    <cellStyle name="Besuchter Hyperlink" xfId="533" builtinId="9" hidden="1"/>
    <cellStyle name="Besuchter Hyperlink" xfId="535" builtinId="9" hidden="1"/>
    <cellStyle name="Besuchter Hyperlink" xfId="537" builtinId="9" hidden="1"/>
    <cellStyle name="Besuchter Hyperlink" xfId="539" builtinId="9" hidden="1"/>
    <cellStyle name="Besuchter Hyperlink" xfId="541" builtinId="9" hidden="1"/>
    <cellStyle name="Besuchter Hyperlink" xfId="543" builtinId="9" hidden="1"/>
    <cellStyle name="Besuchter Hyperlink" xfId="545" builtinId="9" hidden="1"/>
    <cellStyle name="Besuchter Hyperlink" xfId="547" builtinId="9" hidden="1"/>
    <cellStyle name="Besuchter Hyperlink" xfId="549" builtinId="9" hidden="1"/>
    <cellStyle name="Besuchter Hyperlink" xfId="551" builtinId="9" hidden="1"/>
    <cellStyle name="Besuchter Hyperlink" xfId="553" builtinId="9" hidden="1"/>
    <cellStyle name="Besuchter Hyperlink" xfId="555" builtinId="9" hidden="1"/>
    <cellStyle name="Besuchter Hyperlink" xfId="557" builtinId="9" hidden="1"/>
    <cellStyle name="Besuchter Hyperlink" xfId="559" builtinId="9" hidden="1"/>
    <cellStyle name="Besuchter Hyperlink" xfId="561" builtinId="9" hidden="1"/>
    <cellStyle name="Besuchter Hyperlink" xfId="563" builtinId="9" hidden="1"/>
    <cellStyle name="Besuchter Hyperlink" xfId="565" builtinId="9" hidden="1"/>
    <cellStyle name="Besuchter Hyperlink" xfId="567" builtinId="9" hidden="1"/>
    <cellStyle name="Besuchter Hyperlink" xfId="569" builtinId="9" hidden="1"/>
    <cellStyle name="Besuchter Hyperlink" xfId="571" builtinId="9" hidden="1"/>
    <cellStyle name="Besuchter Hyperlink" xfId="573" builtinId="9" hidden="1"/>
    <cellStyle name="Besuchter Hyperlink" xfId="575" builtinId="9" hidden="1"/>
    <cellStyle name="Besuchter Hyperlink" xfId="577" builtinId="9" hidden="1"/>
    <cellStyle name="Besuchter Hyperlink" xfId="579" builtinId="9" hidden="1"/>
    <cellStyle name="Besuchter Hyperlink" xfId="581" builtinId="9" hidden="1"/>
    <cellStyle name="Besuchter Hyperlink" xfId="583" builtinId="9" hidden="1"/>
    <cellStyle name="Besuchter Hyperlink" xfId="585" builtinId="9" hidden="1"/>
    <cellStyle name="Besuchter Hyperlink" xfId="587" builtinId="9" hidden="1"/>
    <cellStyle name="Besuchter Hyperlink" xfId="589" builtinId="9" hidden="1"/>
    <cellStyle name="Besuchter Hyperlink" xfId="591" builtinId="9" hidden="1"/>
    <cellStyle name="Besuchter Hyperlink" xfId="593" builtinId="9" hidden="1"/>
    <cellStyle name="Besuchter Hyperlink" xfId="595" builtinId="9" hidden="1"/>
    <cellStyle name="Besuchter Hyperlink" xfId="597" builtinId="9" hidden="1"/>
    <cellStyle name="Besuchter Hyperlink" xfId="599" builtinId="9" hidden="1"/>
    <cellStyle name="Besuchter Hyperlink" xfId="601" builtinId="9" hidden="1"/>
    <cellStyle name="Besuchter Hyperlink" xfId="603" builtinId="9" hidden="1"/>
    <cellStyle name="Besuchter Hyperlink" xfId="605" builtinId="9" hidden="1"/>
    <cellStyle name="Besuchter Hyperlink" xfId="607" builtinId="9" hidden="1"/>
    <cellStyle name="Besuchter Hyperlink" xfId="609" builtinId="9" hidden="1"/>
    <cellStyle name="Besuchter Hyperlink" xfId="611" builtinId="9" hidden="1"/>
    <cellStyle name="Besuchter Hyperlink" xfId="613" builtinId="9" hidden="1"/>
    <cellStyle name="Besuchter Hyperlink" xfId="615" builtinId="9" hidden="1"/>
    <cellStyle name="Besuchter Hyperlink" xfId="617" builtinId="9" hidden="1"/>
    <cellStyle name="Besuchter Hyperlink" xfId="619" builtinId="9" hidden="1"/>
    <cellStyle name="Besuchter Hyperlink" xfId="621" builtinId="9" hidden="1"/>
    <cellStyle name="Besuchter Hyperlink" xfId="623" builtinId="9" hidden="1"/>
    <cellStyle name="Besuchter Hyperlink" xfId="625" builtinId="9" hidden="1"/>
    <cellStyle name="Besuchter Hyperlink" xfId="627" builtinId="9" hidden="1"/>
    <cellStyle name="Besuchter Hyperlink" xfId="629" builtinId="9" hidden="1"/>
    <cellStyle name="Besuchter Hyperlink" xfId="631" builtinId="9" hidden="1"/>
    <cellStyle name="Besuchter Hyperlink" xfId="633" builtinId="9" hidden="1"/>
    <cellStyle name="Besuchter Hyperlink" xfId="635" builtinId="9" hidden="1"/>
    <cellStyle name="Besuchter Hyperlink" xfId="637" builtinId="9" hidden="1"/>
    <cellStyle name="Besuchter Hyperlink" xfId="639" builtinId="9" hidden="1"/>
    <cellStyle name="Besuchter Hyperlink" xfId="641" builtinId="9" hidden="1"/>
    <cellStyle name="Besuchter Hyperlink" xfId="643" builtinId="9" hidden="1"/>
    <cellStyle name="Besuchter Hyperlink" xfId="645" builtinId="9" hidden="1"/>
    <cellStyle name="Besuchter Hyperlink" xfId="647" builtinId="9" hidden="1"/>
    <cellStyle name="Besuchter Hyperlink" xfId="649" builtinId="9" hidden="1"/>
    <cellStyle name="Besuchter Hyperlink" xfId="651" builtinId="9" hidden="1"/>
    <cellStyle name="Besuchter Hyperlink" xfId="653" builtinId="9" hidden="1"/>
    <cellStyle name="Besuchter Hyperlink" xfId="655" builtinId="9" hidden="1"/>
    <cellStyle name="Besuchter Hyperlink" xfId="657" builtinId="9" hidden="1"/>
    <cellStyle name="Besuchter Hyperlink" xfId="659" builtinId="9" hidden="1"/>
    <cellStyle name="Besuchter Hyperlink" xfId="661" builtinId="9" hidden="1"/>
    <cellStyle name="Besuchter Hyperlink" xfId="663" builtinId="9" hidden="1"/>
    <cellStyle name="Besuchter Hyperlink" xfId="665" builtinId="9" hidden="1"/>
    <cellStyle name="Besuchter Hyperlink" xfId="667" builtinId="9" hidden="1"/>
    <cellStyle name="Besuchter Hyperlink" xfId="669" builtinId="9" hidden="1"/>
    <cellStyle name="Besuchter Hyperlink" xfId="671" builtinId="9" hidden="1"/>
    <cellStyle name="Besuchter Hyperlink" xfId="673" builtinId="9" hidden="1"/>
    <cellStyle name="Besuchter Hyperlink" xfId="675" builtinId="9" hidden="1"/>
    <cellStyle name="Besuchter Hyperlink" xfId="677" builtinId="9" hidden="1"/>
    <cellStyle name="Besuchter Hyperlink" xfId="679" builtinId="9" hidden="1"/>
    <cellStyle name="Besuchter Hyperlink" xfId="681" builtinId="9" hidden="1"/>
    <cellStyle name="Besuchter Hyperlink" xfId="683" builtinId="9" hidden="1"/>
    <cellStyle name="Besuchter Hyperlink" xfId="685" builtinId="9" hidden="1"/>
    <cellStyle name="Besuchter Hyperlink" xfId="687" builtinId="9" hidden="1"/>
    <cellStyle name="Besuchter Hyperlink" xfId="689" builtinId="9" hidden="1"/>
    <cellStyle name="Besuchter Hyperlink" xfId="691" builtinId="9" hidden="1"/>
    <cellStyle name="Besuchter Hyperlink" xfId="693" builtinId="9" hidden="1"/>
    <cellStyle name="Besuchter Hyperlink" xfId="695" builtinId="9" hidden="1"/>
    <cellStyle name="Besuchter Hyperlink" xfId="697" builtinId="9" hidden="1"/>
    <cellStyle name="Besuchter Hyperlink" xfId="699" builtinId="9" hidden="1"/>
    <cellStyle name="Besuchter Hyperlink" xfId="701" builtinId="9" hidden="1"/>
    <cellStyle name="Besuchter Hyperlink" xfId="703" builtinId="9" hidden="1"/>
    <cellStyle name="Besuchter Hyperlink" xfId="705" builtinId="9" hidden="1"/>
    <cellStyle name="Besuchter Hyperlink" xfId="707" builtinId="9" hidden="1"/>
    <cellStyle name="Besuchter Hyperlink" xfId="709" builtinId="9" hidden="1"/>
    <cellStyle name="Besuchter Hyperlink" xfId="711" builtinId="9" hidden="1"/>
    <cellStyle name="Besuchter Hyperlink" xfId="713" builtinId="9" hidden="1"/>
    <cellStyle name="Besuchter Hyperlink" xfId="715" builtinId="9" hidden="1"/>
    <cellStyle name="Besuchter Hyperlink" xfId="717" builtinId="9" hidden="1"/>
    <cellStyle name="Besuchter Hyperlink" xfId="719" builtinId="9" hidden="1"/>
    <cellStyle name="Besuchter Hyperlink" xfId="721" builtinId="9" hidden="1"/>
    <cellStyle name="Besuchter Hyperlink" xfId="723" builtinId="9" hidden="1"/>
    <cellStyle name="Besuchter Hyperlink" xfId="725" builtinId="9" hidden="1"/>
    <cellStyle name="Besuchter Hyperlink" xfId="727" builtinId="9" hidden="1"/>
    <cellStyle name="Besuchter Hyperlink" xfId="729" builtinId="9" hidden="1"/>
    <cellStyle name="Besuchter Hyperlink" xfId="731" builtinId="9" hidden="1"/>
    <cellStyle name="Besuchter Hyperlink" xfId="733" builtinId="9" hidden="1"/>
    <cellStyle name="Besuchter Hyperlink" xfId="735" builtinId="9" hidden="1"/>
    <cellStyle name="Besuchter Hyperlink" xfId="737" builtinId="9" hidden="1"/>
    <cellStyle name="Besuchter Hyperlink" xfId="739" builtinId="9" hidden="1"/>
    <cellStyle name="Besuchter Hyperlink" xfId="741" builtinId="9" hidden="1"/>
    <cellStyle name="Besuchter Hyperlink" xfId="743" builtinId="9" hidden="1"/>
    <cellStyle name="Besuchter Hyperlink" xfId="745" builtinId="9" hidden="1"/>
    <cellStyle name="Besuchter Hyperlink" xfId="747" builtinId="9" hidden="1"/>
    <cellStyle name="Besuchter Hyperlink" xfId="749" builtinId="9" hidden="1"/>
    <cellStyle name="Besuchter Hyperlink" xfId="751" builtinId="9" hidden="1"/>
    <cellStyle name="Besuchter Hyperlink" xfId="753" builtinId="9" hidden="1"/>
    <cellStyle name="Besuchter Hyperlink" xfId="755" builtinId="9" hidden="1"/>
    <cellStyle name="Besuchter Hyperlink" xfId="757" builtinId="9" hidden="1"/>
    <cellStyle name="Besuchter Hyperlink" xfId="759" builtinId="9" hidden="1"/>
    <cellStyle name="Besuchter Hyperlink" xfId="761" builtinId="9" hidden="1"/>
    <cellStyle name="Besuchter Hyperlink" xfId="763" builtinId="9" hidden="1"/>
    <cellStyle name="Besuchter Hyperlink" xfId="765" builtinId="9" hidden="1"/>
    <cellStyle name="Besuchter Hyperlink" xfId="767" builtinId="9" hidden="1"/>
    <cellStyle name="Besuchter Hyperlink" xfId="769" builtinId="9" hidden="1"/>
    <cellStyle name="Besuchter Hyperlink" xfId="771" builtinId="9" hidden="1"/>
    <cellStyle name="Besuchter Hyperlink" xfId="773" builtinId="9" hidden="1"/>
    <cellStyle name="Besuchter Hyperlink" xfId="775" builtinId="9" hidden="1"/>
    <cellStyle name="Besuchter Hyperlink" xfId="777" builtinId="9" hidden="1"/>
    <cellStyle name="Besuchter Hyperlink" xfId="779" builtinId="9" hidden="1"/>
    <cellStyle name="Besuchter Hyperlink" xfId="781" builtinId="9" hidden="1"/>
    <cellStyle name="Besuchter Hyperlink" xfId="783" builtinId="9" hidden="1"/>
    <cellStyle name="Besuchter Hyperlink" xfId="785" builtinId="9" hidden="1"/>
    <cellStyle name="Besuchter Hyperlink" xfId="787" builtinId="9" hidden="1"/>
    <cellStyle name="Besuchter Hyperlink" xfId="789" builtinId="9" hidden="1"/>
    <cellStyle name="Besuchter Hyperlink" xfId="791" builtinId="9" hidden="1"/>
    <cellStyle name="Besuchter Hyperlink" xfId="793" builtinId="9" hidden="1"/>
    <cellStyle name="Besuchter Hyperlink" xfId="795" builtinId="9" hidden="1"/>
    <cellStyle name="Besuchter Hyperlink" xfId="797" builtinId="9" hidden="1"/>
    <cellStyle name="Besuchter Hyperlink" xfId="799" builtinId="9" hidden="1"/>
    <cellStyle name="Besuchter Hyperlink" xfId="801" builtinId="9" hidden="1"/>
    <cellStyle name="Besuchter Hyperlink" xfId="803" builtinId="9" hidden="1"/>
    <cellStyle name="Besuchter Hyperlink" xfId="805" builtinId="9" hidden="1"/>
    <cellStyle name="Besuchter Hyperlink" xfId="807" builtinId="9" hidden="1"/>
    <cellStyle name="Besuchter Hyperlink" xfId="809" builtinId="9" hidden="1"/>
    <cellStyle name="Besuchter Hyperlink" xfId="811" builtinId="9" hidden="1"/>
    <cellStyle name="Besuchter Hyperlink" xfId="813" builtinId="9" hidden="1"/>
    <cellStyle name="Besuchter Hyperlink" xfId="815" builtinId="9" hidden="1"/>
    <cellStyle name="Besuchter Hyperlink" xfId="817" builtinId="9" hidden="1"/>
    <cellStyle name="Besuchter Hyperlink" xfId="819" builtinId="9" hidden="1"/>
    <cellStyle name="Besuchter Hyperlink" xfId="821" builtinId="9" hidden="1"/>
    <cellStyle name="Besuchter Hyperlink" xfId="823" builtinId="9" hidden="1"/>
    <cellStyle name="Besuchter Hyperlink" xfId="825" builtinId="9" hidden="1"/>
    <cellStyle name="Besuchter Hyperlink" xfId="827" builtinId="9" hidden="1"/>
    <cellStyle name="Besuchter Hyperlink" xfId="829" builtinId="9" hidden="1"/>
    <cellStyle name="Besuchter Hyperlink" xfId="831" builtinId="9" hidden="1"/>
    <cellStyle name="Besuchter Hyperlink" xfId="833" builtinId="9" hidden="1"/>
    <cellStyle name="Besuchter Hyperlink" xfId="835" builtinId="9" hidden="1"/>
    <cellStyle name="Besuchter Hyperlink" xfId="837" builtinId="9" hidden="1"/>
    <cellStyle name="Besuchter Hyperlink" xfId="839" builtinId="9" hidden="1"/>
    <cellStyle name="Besuchter Hyperlink" xfId="841" builtinId="9" hidden="1"/>
    <cellStyle name="Besuchter Hyperlink" xfId="843" builtinId="9" hidden="1"/>
    <cellStyle name="Besuchter Hyperlink" xfId="845" builtinId="9" hidden="1"/>
    <cellStyle name="Besuchter Hyperlink" xfId="847" builtinId="9" hidden="1"/>
    <cellStyle name="Besuchter Hyperlink" xfId="849" builtinId="9" hidden="1"/>
    <cellStyle name="Besuchter Hyperlink" xfId="851" builtinId="9" hidden="1"/>
    <cellStyle name="Besuchter Hyperlink" xfId="853" builtinId="9" hidden="1"/>
    <cellStyle name="Besuchter Hyperlink" xfId="855" builtinId="9" hidden="1"/>
    <cellStyle name="Besuchter Hyperlink" xfId="857" builtinId="9" hidden="1"/>
    <cellStyle name="Besuchter Hyperlink" xfId="859" builtinId="9" hidden="1"/>
    <cellStyle name="Besuchter Hyperlink" xfId="861" builtinId="9" hidden="1"/>
    <cellStyle name="Besuchter Hyperlink" xfId="863" builtinId="9" hidden="1"/>
    <cellStyle name="Besuchter Hyperlink" xfId="865" builtinId="9" hidden="1"/>
    <cellStyle name="Besuchter Hyperlink" xfId="867" builtinId="9" hidden="1"/>
    <cellStyle name="Besuchter Hyperlink" xfId="869" builtinId="9" hidden="1"/>
    <cellStyle name="Besuchter Hyperlink" xfId="871" builtinId="9" hidden="1"/>
    <cellStyle name="Besuchter Hyperlink" xfId="873" builtinId="9" hidden="1"/>
    <cellStyle name="Besuchter Hyperlink" xfId="875" builtinId="9" hidden="1"/>
    <cellStyle name="Besuchter Hyperlink" xfId="877" builtinId="9" hidden="1"/>
    <cellStyle name="Besuchter Hyperlink" xfId="879" builtinId="9" hidden="1"/>
    <cellStyle name="Besuchter Hyperlink" xfId="881" builtinId="9" hidden="1"/>
    <cellStyle name="Besuchter Hyperlink" xfId="883" builtinId="9" hidden="1"/>
    <cellStyle name="Besuchter Hyperlink" xfId="885" builtinId="9" hidden="1"/>
    <cellStyle name="Besuchter Hyperlink" xfId="887" builtinId="9" hidden="1"/>
    <cellStyle name="Besuchter Hyperlink" xfId="889" builtinId="9" hidden="1"/>
    <cellStyle name="Besuchter Hyperlink" xfId="891" builtinId="9" hidden="1"/>
    <cellStyle name="Besuchter Hyperlink" xfId="893" builtinId="9" hidden="1"/>
    <cellStyle name="Besuchter Hyperlink" xfId="895" builtinId="9" hidden="1"/>
    <cellStyle name="Besuchter Hyperlink" xfId="897" builtinId="9" hidden="1"/>
    <cellStyle name="Besuchter Hyperlink" xfId="899" builtinId="9" hidden="1"/>
    <cellStyle name="Besuchter Hyperlink" xfId="901" builtinId="9" hidden="1"/>
    <cellStyle name="Besuchter Hyperlink" xfId="903" builtinId="9" hidden="1"/>
    <cellStyle name="Besuchter Hyperlink" xfId="905" builtinId="9" hidden="1"/>
    <cellStyle name="Besuchter Hyperlink" xfId="907" builtinId="9" hidden="1"/>
    <cellStyle name="Besuchter Hyperlink" xfId="909" builtinId="9" hidden="1"/>
    <cellStyle name="Besuchter Hyperlink" xfId="911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Besuchter Hyperlink" xfId="938" builtinId="9" hidden="1"/>
    <cellStyle name="Besuchter Hyperlink" xfId="940" builtinId="9" hidden="1"/>
    <cellStyle name="Besuchter Hyperlink" xfId="942" builtinId="9" hidden="1"/>
    <cellStyle name="Besuchter Hyperlink" xfId="944" builtinId="9" hidden="1"/>
    <cellStyle name="Besuchter Hyperlink" xfId="946" builtinId="9" hidden="1"/>
    <cellStyle name="Besuchter Hyperlink" xfId="948" builtinId="9" hidden="1"/>
    <cellStyle name="Besuchter Hyperlink" xfId="950" builtinId="9" hidden="1"/>
    <cellStyle name="Besuchter Hyperlink" xfId="952" builtinId="9" hidden="1"/>
    <cellStyle name="Besuchter Hyperlink" xfId="954" builtinId="9" hidden="1"/>
    <cellStyle name="Besuchter Hyperlink" xfId="956" builtinId="9" hidden="1"/>
    <cellStyle name="Besuchter Hyperlink" xfId="958" builtinId="9" hidden="1"/>
    <cellStyle name="Besuchter Hyperlink" xfId="960" builtinId="9" hidden="1"/>
    <cellStyle name="Besuchter Hyperlink" xfId="962" builtinId="9" hidden="1"/>
    <cellStyle name="Besuchter Hyperlink" xfId="964" builtinId="9" hidden="1"/>
    <cellStyle name="Besuchter Hyperlink" xfId="966" builtinId="9" hidden="1"/>
    <cellStyle name="Besuchter Hyperlink" xfId="968" builtinId="9" hidden="1"/>
    <cellStyle name="Besuchter Hyperlink" xfId="970" builtinId="9" hidden="1"/>
    <cellStyle name="Besuchter Hyperlink" xfId="972" builtinId="9" hidden="1"/>
    <cellStyle name="Besuchter Hyperlink" xfId="974" builtinId="9" hidden="1"/>
    <cellStyle name="Besuchter Hyperlink" xfId="976" builtinId="9" hidden="1"/>
    <cellStyle name="Besuchter Hyperlink" xfId="978" builtinId="9" hidden="1"/>
    <cellStyle name="Besuchter Hyperlink" xfId="980" builtinId="9" hidden="1"/>
    <cellStyle name="Besuchter Hyperlink" xfId="982" builtinId="9" hidden="1"/>
    <cellStyle name="Besuchter Hyperlink" xfId="984" builtinId="9" hidden="1"/>
    <cellStyle name="Besuchter Hyperlink" xfId="986" builtinId="9" hidden="1"/>
    <cellStyle name="Besuchter Hyperlink" xfId="988" builtinId="9" hidden="1"/>
    <cellStyle name="Besuchter Hyperlink" xfId="990" builtinId="9" hidden="1"/>
    <cellStyle name="Besuchter Hyperlink" xfId="992" builtinId="9" hidden="1"/>
    <cellStyle name="Besuchter Hyperlink" xfId="994" builtinId="9" hidden="1"/>
    <cellStyle name="Besuchter Hyperlink" xfId="996" builtinId="9" hidden="1"/>
    <cellStyle name="Besuchter Hyperlink" xfId="998" builtinId="9" hidden="1"/>
    <cellStyle name="Besuchter Hyperlink" xfId="1000" builtinId="9" hidden="1"/>
    <cellStyle name="Besuchter Hyperlink" xfId="1002" builtinId="9" hidden="1"/>
    <cellStyle name="Besuchter Hyperlink" xfId="1004" builtinId="9" hidden="1"/>
    <cellStyle name="Besuchter Hyperlink" xfId="1006" builtinId="9" hidden="1"/>
    <cellStyle name="Besuchter Hyperlink" xfId="1008" builtinId="9" hidden="1"/>
    <cellStyle name="Besuchter Hyperlink" xfId="1010" builtinId="9" hidden="1"/>
    <cellStyle name="Besuchter Hyperlink" xfId="1012" builtinId="9" hidden="1"/>
    <cellStyle name="Besuchter Hyperlink" xfId="1014" builtinId="9" hidden="1"/>
    <cellStyle name="Besuchter Hyperlink" xfId="1016" builtinId="9" hidden="1"/>
    <cellStyle name="Besuchter Hyperlink" xfId="1018" builtinId="9" hidden="1"/>
    <cellStyle name="Besuchter Hyperlink" xfId="1020" builtinId="9" hidden="1"/>
    <cellStyle name="Besuchter Hyperlink" xfId="1022" builtinId="9" hidden="1"/>
    <cellStyle name="Besuchter Hyperlink" xfId="1024" builtinId="9" hidden="1"/>
    <cellStyle name="Besuchter Hyperlink" xfId="1026" builtinId="9" hidden="1"/>
    <cellStyle name="Besuchter Hyperlink" xfId="1028" builtinId="9" hidden="1"/>
    <cellStyle name="Besuchter Hyperlink" xfId="1030" builtinId="9" hidden="1"/>
    <cellStyle name="Besuchter Hyperlink" xfId="1032" builtinId="9" hidden="1"/>
    <cellStyle name="Besuchter Hyperlink" xfId="1034" builtinId="9" hidden="1"/>
    <cellStyle name="Besuchter Hyperlink" xfId="1036" builtinId="9" hidden="1"/>
    <cellStyle name="Besuchter Hyperlink" xfId="1038" builtinId="9" hidden="1"/>
    <cellStyle name="Besuchter Hyperlink" xfId="1040" builtinId="9" hidden="1"/>
    <cellStyle name="Besuchter Hyperlink" xfId="1042" builtinId="9" hidden="1"/>
    <cellStyle name="Besuchter Hyperlink" xfId="1044" builtinId="9" hidden="1"/>
    <cellStyle name="Besuchter Hyperlink" xfId="1046" builtinId="9" hidden="1"/>
    <cellStyle name="Besuchter Hyperlink" xfId="1048" builtinId="9" hidden="1"/>
    <cellStyle name="Besuchter Hyperlink" xfId="1050" builtinId="9" hidden="1"/>
    <cellStyle name="Besuchter Hyperlink" xfId="1052" builtinId="9" hidden="1"/>
    <cellStyle name="Besuchter Hyperlink" xfId="1054" builtinId="9" hidden="1"/>
    <cellStyle name="Besuchter Hyperlink" xfId="1056" builtinId="9" hidden="1"/>
    <cellStyle name="Besuchter Hyperlink" xfId="1058" builtinId="9" hidden="1"/>
    <cellStyle name="Besuchter Hyperlink" xfId="1060" builtinId="9" hidden="1"/>
    <cellStyle name="Besuchter Hyperlink" xfId="1062" builtinId="9" hidden="1"/>
    <cellStyle name="Besuchter Hyperlink" xfId="1064" builtinId="9" hidden="1"/>
    <cellStyle name="Besuchter Hyperlink" xfId="1066" builtinId="9" hidden="1"/>
    <cellStyle name="Besuchter Hyperlink" xfId="1068" builtinId="9" hidden="1"/>
    <cellStyle name="Besuchter Hyperlink" xfId="1070" builtinId="9" hidden="1"/>
    <cellStyle name="Besuchter Hyperlink" xfId="1072" builtinId="9" hidden="1"/>
    <cellStyle name="Besuchter Hyperlink" xfId="1074" builtinId="9" hidden="1"/>
    <cellStyle name="Besuchter Hyperlink" xfId="1076" builtinId="9" hidden="1"/>
    <cellStyle name="Besuchter Hyperlink" xfId="1078" builtinId="9" hidden="1"/>
    <cellStyle name="Besuchter Hyperlink" xfId="1080" builtinId="9" hidden="1"/>
    <cellStyle name="Besuchter Hyperlink" xfId="1082" builtinId="9" hidden="1"/>
    <cellStyle name="Besuchter Hyperlink" xfId="1084" builtinId="9" hidden="1"/>
    <cellStyle name="Besuchter Hyperlink" xfId="1086" builtinId="9" hidden="1"/>
    <cellStyle name="Besuchter Hyperlink" xfId="1088" builtinId="9" hidden="1"/>
    <cellStyle name="Besuchter Hyperlink" xfId="1090" builtinId="9" hidden="1"/>
    <cellStyle name="Besuchter Hyperlink" xfId="1092" builtinId="9" hidden="1"/>
    <cellStyle name="Besuchter Hyperlink" xfId="1094" builtinId="9" hidden="1"/>
    <cellStyle name="Besuchter Hyperlink" xfId="1096" builtinId="9" hidden="1"/>
    <cellStyle name="Besuchter Hyperlink" xfId="1098" builtinId="9" hidden="1"/>
    <cellStyle name="Besuchter Hyperlink" xfId="1100" builtinId="9" hidden="1"/>
    <cellStyle name="Gut" xfId="912" builtinId="26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Link" xfId="108" builtinId="8" hidden="1"/>
    <cellStyle name="Link" xfId="110" builtinId="8" hidden="1"/>
    <cellStyle name="Link" xfId="112" builtinId="8" hidden="1"/>
    <cellStyle name="Link" xfId="114" builtinId="8" hidden="1"/>
    <cellStyle name="Link" xfId="116" builtinId="8" hidden="1"/>
    <cellStyle name="Link" xfId="118" builtinId="8" hidden="1"/>
    <cellStyle name="Link" xfId="120" builtinId="8" hidden="1"/>
    <cellStyle name="Link" xfId="122" builtinId="8" hidden="1"/>
    <cellStyle name="Link" xfId="124" builtinId="8" hidden="1"/>
    <cellStyle name="Link" xfId="126" builtinId="8" hidden="1"/>
    <cellStyle name="Link" xfId="128" builtinId="8" hidden="1"/>
    <cellStyle name="Link" xfId="130" builtinId="8" hidden="1"/>
    <cellStyle name="Link" xfId="132" builtinId="8" hidden="1"/>
    <cellStyle name="Link" xfId="134" builtinId="8" hidden="1"/>
    <cellStyle name="Link" xfId="136" builtinId="8" hidden="1"/>
    <cellStyle name="Link" xfId="138" builtinId="8" hidden="1"/>
    <cellStyle name="Link" xfId="140" builtinId="8" hidden="1"/>
    <cellStyle name="Link" xfId="142" builtinId="8" hidden="1"/>
    <cellStyle name="Link" xfId="144" builtinId="8" hidden="1"/>
    <cellStyle name="Link" xfId="146" builtinId="8" hidden="1"/>
    <cellStyle name="Link" xfId="148" builtinId="8" hidden="1"/>
    <cellStyle name="Link" xfId="150" builtinId="8" hidden="1"/>
    <cellStyle name="Link" xfId="152" builtinId="8" hidden="1"/>
    <cellStyle name="Link" xfId="154" builtinId="8" hidden="1"/>
    <cellStyle name="Link" xfId="156" builtinId="8" hidden="1"/>
    <cellStyle name="Link" xfId="158" builtinId="8" hidden="1"/>
    <cellStyle name="Link" xfId="160" builtinId="8" hidden="1"/>
    <cellStyle name="Link" xfId="162" builtinId="8" hidden="1"/>
    <cellStyle name="Link" xfId="164" builtinId="8" hidden="1"/>
    <cellStyle name="Link" xfId="166" builtinId="8" hidden="1"/>
    <cellStyle name="Link" xfId="168" builtinId="8" hidden="1"/>
    <cellStyle name="Link" xfId="170" builtinId="8" hidden="1"/>
    <cellStyle name="Link" xfId="172" builtinId="8" hidden="1"/>
    <cellStyle name="Link" xfId="174" builtinId="8" hidden="1"/>
    <cellStyle name="Link" xfId="176" builtinId="8" hidden="1"/>
    <cellStyle name="Link" xfId="178" builtinId="8" hidden="1"/>
    <cellStyle name="Link" xfId="180" builtinId="8" hidden="1"/>
    <cellStyle name="Link" xfId="182" builtinId="8" hidden="1"/>
    <cellStyle name="Link" xfId="184" builtinId="8" hidden="1"/>
    <cellStyle name="Link" xfId="186" builtinId="8" hidden="1"/>
    <cellStyle name="Link" xfId="188" builtinId="8" hidden="1"/>
    <cellStyle name="Link" xfId="190" builtinId="8" hidden="1"/>
    <cellStyle name="Link" xfId="192" builtinId="8" hidden="1"/>
    <cellStyle name="Link" xfId="194" builtinId="8" hidden="1"/>
    <cellStyle name="Link" xfId="196" builtinId="8" hidden="1"/>
    <cellStyle name="Link" xfId="198" builtinId="8" hidden="1"/>
    <cellStyle name="Link" xfId="200" builtinId="8" hidden="1"/>
    <cellStyle name="Link" xfId="202" builtinId="8" hidden="1"/>
    <cellStyle name="Link" xfId="204" builtinId="8" hidden="1"/>
    <cellStyle name="Link" xfId="206" builtinId="8" hidden="1"/>
    <cellStyle name="Link" xfId="208" builtinId="8" hidden="1"/>
    <cellStyle name="Link" xfId="210" builtinId="8" hidden="1"/>
    <cellStyle name="Link" xfId="212" builtinId="8" hidden="1"/>
    <cellStyle name="Link" xfId="214" builtinId="8" hidden="1"/>
    <cellStyle name="Link" xfId="216" builtinId="8" hidden="1"/>
    <cellStyle name="Link" xfId="218" builtinId="8" hidden="1"/>
    <cellStyle name="Link" xfId="220" builtinId="8" hidden="1"/>
    <cellStyle name="Link" xfId="222" builtinId="8" hidden="1"/>
    <cellStyle name="Link" xfId="224" builtinId="8" hidden="1"/>
    <cellStyle name="Link" xfId="226" builtinId="8" hidden="1"/>
    <cellStyle name="Link" xfId="228" builtinId="8" hidden="1"/>
    <cellStyle name="Link" xfId="230" builtinId="8" hidden="1"/>
    <cellStyle name="Link" xfId="232" builtinId="8" hidden="1"/>
    <cellStyle name="Link" xfId="234" builtinId="8" hidden="1"/>
    <cellStyle name="Link" xfId="236" builtinId="8" hidden="1"/>
    <cellStyle name="Link" xfId="238" builtinId="8" hidden="1"/>
    <cellStyle name="Link" xfId="240" builtinId="8" hidden="1"/>
    <cellStyle name="Link" xfId="242" builtinId="8" hidden="1"/>
    <cellStyle name="Link" xfId="244" builtinId="8" hidden="1"/>
    <cellStyle name="Link" xfId="246" builtinId="8" hidden="1"/>
    <cellStyle name="Link" xfId="248" builtinId="8" hidden="1"/>
    <cellStyle name="Link" xfId="250" builtinId="8" hidden="1"/>
    <cellStyle name="Link" xfId="252" builtinId="8" hidden="1"/>
    <cellStyle name="Link" xfId="254" builtinId="8" hidden="1"/>
    <cellStyle name="Link" xfId="256" builtinId="8" hidden="1"/>
    <cellStyle name="Link" xfId="258" builtinId="8" hidden="1"/>
    <cellStyle name="Link" xfId="260" builtinId="8" hidden="1"/>
    <cellStyle name="Link" xfId="262" builtinId="8" hidden="1"/>
    <cellStyle name="Link" xfId="264" builtinId="8" hidden="1"/>
    <cellStyle name="Link" xfId="266" builtinId="8" hidden="1"/>
    <cellStyle name="Link" xfId="268" builtinId="8" hidden="1"/>
    <cellStyle name="Link" xfId="270" builtinId="8" hidden="1"/>
    <cellStyle name="Link" xfId="272" builtinId="8" hidden="1"/>
    <cellStyle name="Link" xfId="274" builtinId="8" hidden="1"/>
    <cellStyle name="Link" xfId="276" builtinId="8" hidden="1"/>
    <cellStyle name="Link" xfId="278" builtinId="8" hidden="1"/>
    <cellStyle name="Link" xfId="280" builtinId="8" hidden="1"/>
    <cellStyle name="Link" xfId="282" builtinId="8" hidden="1"/>
    <cellStyle name="Link" xfId="284" builtinId="8" hidden="1"/>
    <cellStyle name="Link" xfId="286" builtinId="8" hidden="1"/>
    <cellStyle name="Link" xfId="288" builtinId="8" hidden="1"/>
    <cellStyle name="Link" xfId="290" builtinId="8" hidden="1"/>
    <cellStyle name="Link" xfId="292" builtinId="8" hidden="1"/>
    <cellStyle name="Link" xfId="294" builtinId="8" hidden="1"/>
    <cellStyle name="Link" xfId="296" builtinId="8" hidden="1"/>
    <cellStyle name="Link" xfId="298" builtinId="8" hidden="1"/>
    <cellStyle name="Link" xfId="300" builtinId="8" hidden="1"/>
    <cellStyle name="Link" xfId="302" builtinId="8" hidden="1"/>
    <cellStyle name="Link" xfId="304" builtinId="8" hidden="1"/>
    <cellStyle name="Link" xfId="306" builtinId="8" hidden="1"/>
    <cellStyle name="Link" xfId="308" builtinId="8" hidden="1"/>
    <cellStyle name="Link" xfId="310" builtinId="8" hidden="1"/>
    <cellStyle name="Link" xfId="312" builtinId="8" hidden="1"/>
    <cellStyle name="Link" xfId="314" builtinId="8" hidden="1"/>
    <cellStyle name="Link" xfId="316" builtinId="8" hidden="1"/>
    <cellStyle name="Link" xfId="318" builtinId="8" hidden="1"/>
    <cellStyle name="Link" xfId="320" builtinId="8" hidden="1"/>
    <cellStyle name="Link" xfId="322" builtinId="8" hidden="1"/>
    <cellStyle name="Link" xfId="324" builtinId="8" hidden="1"/>
    <cellStyle name="Link" xfId="326" builtinId="8" hidden="1"/>
    <cellStyle name="Link" xfId="328" builtinId="8" hidden="1"/>
    <cellStyle name="Link" xfId="330" builtinId="8" hidden="1"/>
    <cellStyle name="Link" xfId="332" builtinId="8" hidden="1"/>
    <cellStyle name="Link" xfId="334" builtinId="8" hidden="1"/>
    <cellStyle name="Link" xfId="336" builtinId="8" hidden="1"/>
    <cellStyle name="Link" xfId="338" builtinId="8" hidden="1"/>
    <cellStyle name="Link" xfId="340" builtinId="8" hidden="1"/>
    <cellStyle name="Link" xfId="342" builtinId="8" hidden="1"/>
    <cellStyle name="Link" xfId="344" builtinId="8" hidden="1"/>
    <cellStyle name="Link" xfId="346" builtinId="8" hidden="1"/>
    <cellStyle name="Link" xfId="348" builtinId="8" hidden="1"/>
    <cellStyle name="Link" xfId="350" builtinId="8" hidden="1"/>
    <cellStyle name="Link" xfId="352" builtinId="8" hidden="1"/>
    <cellStyle name="Link" xfId="354" builtinId="8" hidden="1"/>
    <cellStyle name="Link" xfId="356" builtinId="8" hidden="1"/>
    <cellStyle name="Link" xfId="358" builtinId="8" hidden="1"/>
    <cellStyle name="Link" xfId="360" builtinId="8" hidden="1"/>
    <cellStyle name="Link" xfId="362" builtinId="8" hidden="1"/>
    <cellStyle name="Link" xfId="364" builtinId="8" hidden="1"/>
    <cellStyle name="Link" xfId="366" builtinId="8" hidden="1"/>
    <cellStyle name="Link" xfId="368" builtinId="8" hidden="1"/>
    <cellStyle name="Link" xfId="370" builtinId="8" hidden="1"/>
    <cellStyle name="Link" xfId="372" builtinId="8" hidden="1"/>
    <cellStyle name="Link" xfId="374" builtinId="8" hidden="1"/>
    <cellStyle name="Link" xfId="376" builtinId="8" hidden="1"/>
    <cellStyle name="Link" xfId="378" builtinId="8" hidden="1"/>
    <cellStyle name="Link" xfId="380" builtinId="8" hidden="1"/>
    <cellStyle name="Link" xfId="382" builtinId="8" hidden="1"/>
    <cellStyle name="Link" xfId="384" builtinId="8" hidden="1"/>
    <cellStyle name="Link" xfId="386" builtinId="8" hidden="1"/>
    <cellStyle name="Link" xfId="388" builtinId="8" hidden="1"/>
    <cellStyle name="Link" xfId="390" builtinId="8" hidden="1"/>
    <cellStyle name="Link" xfId="392" builtinId="8" hidden="1"/>
    <cellStyle name="Link" xfId="394" builtinId="8" hidden="1"/>
    <cellStyle name="Link" xfId="396" builtinId="8" hidden="1"/>
    <cellStyle name="Link" xfId="398" builtinId="8" hidden="1"/>
    <cellStyle name="Link" xfId="400" builtinId="8" hidden="1"/>
    <cellStyle name="Link" xfId="402" builtinId="8" hidden="1"/>
    <cellStyle name="Link" xfId="404" builtinId="8" hidden="1"/>
    <cellStyle name="Link" xfId="406" builtinId="8" hidden="1"/>
    <cellStyle name="Link" xfId="408" builtinId="8" hidden="1"/>
    <cellStyle name="Link" xfId="410" builtinId="8" hidden="1"/>
    <cellStyle name="Link" xfId="412" builtinId="8" hidden="1"/>
    <cellStyle name="Link" xfId="414" builtinId="8" hidden="1"/>
    <cellStyle name="Link" xfId="416" builtinId="8" hidden="1"/>
    <cellStyle name="Link" xfId="418" builtinId="8" hidden="1"/>
    <cellStyle name="Link" xfId="420" builtinId="8" hidden="1"/>
    <cellStyle name="Link" xfId="422" builtinId="8" hidden="1"/>
    <cellStyle name="Link" xfId="424" builtinId="8" hidden="1"/>
    <cellStyle name="Link" xfId="426" builtinId="8" hidden="1"/>
    <cellStyle name="Link" xfId="428" builtinId="8" hidden="1"/>
    <cellStyle name="Link" xfId="430" builtinId="8" hidden="1"/>
    <cellStyle name="Link" xfId="432" builtinId="8" hidden="1"/>
    <cellStyle name="Link" xfId="434" builtinId="8" hidden="1"/>
    <cellStyle name="Link" xfId="436" builtinId="8" hidden="1"/>
    <cellStyle name="Link" xfId="438" builtinId="8" hidden="1"/>
    <cellStyle name="Link" xfId="440" builtinId="8" hidden="1"/>
    <cellStyle name="Link" xfId="442" builtinId="8" hidden="1"/>
    <cellStyle name="Link" xfId="444" builtinId="8" hidden="1"/>
    <cellStyle name="Link" xfId="446" builtinId="8" hidden="1"/>
    <cellStyle name="Link" xfId="448" builtinId="8" hidden="1"/>
    <cellStyle name="Link" xfId="450" builtinId="8" hidden="1"/>
    <cellStyle name="Link" xfId="452" builtinId="8" hidden="1"/>
    <cellStyle name="Link" xfId="454" builtinId="8" hidden="1"/>
    <cellStyle name="Link" xfId="456" builtinId="8" hidden="1"/>
    <cellStyle name="Link" xfId="458" builtinId="8" hidden="1"/>
    <cellStyle name="Link" xfId="460" builtinId="8" hidden="1"/>
    <cellStyle name="Link" xfId="462" builtinId="8" hidden="1"/>
    <cellStyle name="Link" xfId="464" builtinId="8" hidden="1"/>
    <cellStyle name="Link" xfId="466" builtinId="8" hidden="1"/>
    <cellStyle name="Link" xfId="468" builtinId="8" hidden="1"/>
    <cellStyle name="Link" xfId="470" builtinId="8" hidden="1"/>
    <cellStyle name="Link" xfId="472" builtinId="8" hidden="1"/>
    <cellStyle name="Link" xfId="474" builtinId="8" hidden="1"/>
    <cellStyle name="Link" xfId="476" builtinId="8" hidden="1"/>
    <cellStyle name="Link" xfId="478" builtinId="8" hidden="1"/>
    <cellStyle name="Link" xfId="480" builtinId="8" hidden="1"/>
    <cellStyle name="Link" xfId="482" builtinId="8" hidden="1"/>
    <cellStyle name="Link" xfId="484" builtinId="8" hidden="1"/>
    <cellStyle name="Link" xfId="486" builtinId="8" hidden="1"/>
    <cellStyle name="Link" xfId="488" builtinId="8" hidden="1"/>
    <cellStyle name="Link" xfId="490" builtinId="8" hidden="1"/>
    <cellStyle name="Link" xfId="492" builtinId="8" hidden="1"/>
    <cellStyle name="Link" xfId="494" builtinId="8" hidden="1"/>
    <cellStyle name="Link" xfId="496" builtinId="8" hidden="1"/>
    <cellStyle name="Link" xfId="498" builtinId="8" hidden="1"/>
    <cellStyle name="Link" xfId="500" builtinId="8" hidden="1"/>
    <cellStyle name="Link" xfId="502" builtinId="8" hidden="1"/>
    <cellStyle name="Link" xfId="504" builtinId="8" hidden="1"/>
    <cellStyle name="Link" xfId="506" builtinId="8" hidden="1"/>
    <cellStyle name="Link" xfId="508" builtinId="8" hidden="1"/>
    <cellStyle name="Link" xfId="510" builtinId="8" hidden="1"/>
    <cellStyle name="Link" xfId="512" builtinId="8" hidden="1"/>
    <cellStyle name="Link" xfId="514" builtinId="8" hidden="1"/>
    <cellStyle name="Link" xfId="516" builtinId="8" hidden="1"/>
    <cellStyle name="Link" xfId="518" builtinId="8" hidden="1"/>
    <cellStyle name="Link" xfId="520" builtinId="8" hidden="1"/>
    <cellStyle name="Link" xfId="522" builtinId="8" hidden="1"/>
    <cellStyle name="Link" xfId="524" builtinId="8" hidden="1"/>
    <cellStyle name="Link" xfId="526" builtinId="8" hidden="1"/>
    <cellStyle name="Link" xfId="528" builtinId="8" hidden="1"/>
    <cellStyle name="Link" xfId="530" builtinId="8" hidden="1"/>
    <cellStyle name="Link" xfId="532" builtinId="8" hidden="1"/>
    <cellStyle name="Link" xfId="534" builtinId="8" hidden="1"/>
    <cellStyle name="Link" xfId="536" builtinId="8" hidden="1"/>
    <cellStyle name="Link" xfId="538" builtinId="8" hidden="1"/>
    <cellStyle name="Link" xfId="540" builtinId="8" hidden="1"/>
    <cellStyle name="Link" xfId="542" builtinId="8" hidden="1"/>
    <cellStyle name="Link" xfId="544" builtinId="8" hidden="1"/>
    <cellStyle name="Link" xfId="546" builtinId="8" hidden="1"/>
    <cellStyle name="Link" xfId="548" builtinId="8" hidden="1"/>
    <cellStyle name="Link" xfId="550" builtinId="8" hidden="1"/>
    <cellStyle name="Link" xfId="552" builtinId="8" hidden="1"/>
    <cellStyle name="Link" xfId="554" builtinId="8" hidden="1"/>
    <cellStyle name="Link" xfId="556" builtinId="8" hidden="1"/>
    <cellStyle name="Link" xfId="558" builtinId="8" hidden="1"/>
    <cellStyle name="Link" xfId="560" builtinId="8" hidden="1"/>
    <cellStyle name="Link" xfId="562" builtinId="8" hidden="1"/>
    <cellStyle name="Link" xfId="564" builtinId="8" hidden="1"/>
    <cellStyle name="Link" xfId="566" builtinId="8" hidden="1"/>
    <cellStyle name="Link" xfId="568" builtinId="8" hidden="1"/>
    <cellStyle name="Link" xfId="570" builtinId="8" hidden="1"/>
    <cellStyle name="Link" xfId="572" builtinId="8" hidden="1"/>
    <cellStyle name="Link" xfId="574" builtinId="8" hidden="1"/>
    <cellStyle name="Link" xfId="576" builtinId="8" hidden="1"/>
    <cellStyle name="Link" xfId="578" builtinId="8" hidden="1"/>
    <cellStyle name="Link" xfId="580" builtinId="8" hidden="1"/>
    <cellStyle name="Link" xfId="582" builtinId="8" hidden="1"/>
    <cellStyle name="Link" xfId="584" builtinId="8" hidden="1"/>
    <cellStyle name="Link" xfId="586" builtinId="8" hidden="1"/>
    <cellStyle name="Link" xfId="588" builtinId="8" hidden="1"/>
    <cellStyle name="Link" xfId="590" builtinId="8" hidden="1"/>
    <cellStyle name="Link" xfId="592" builtinId="8" hidden="1"/>
    <cellStyle name="Link" xfId="594" builtinId="8" hidden="1"/>
    <cellStyle name="Link" xfId="596" builtinId="8" hidden="1"/>
    <cellStyle name="Link" xfId="598" builtinId="8" hidden="1"/>
    <cellStyle name="Link" xfId="600" builtinId="8" hidden="1"/>
    <cellStyle name="Link" xfId="602" builtinId="8" hidden="1"/>
    <cellStyle name="Link" xfId="604" builtinId="8" hidden="1"/>
    <cellStyle name="Link" xfId="606" builtinId="8" hidden="1"/>
    <cellStyle name="Link" xfId="608" builtinId="8" hidden="1"/>
    <cellStyle name="Link" xfId="610" builtinId="8" hidden="1"/>
    <cellStyle name="Link" xfId="612" builtinId="8" hidden="1"/>
    <cellStyle name="Link" xfId="614" builtinId="8" hidden="1"/>
    <cellStyle name="Link" xfId="616" builtinId="8" hidden="1"/>
    <cellStyle name="Link" xfId="618" builtinId="8" hidden="1"/>
    <cellStyle name="Link" xfId="620" builtinId="8" hidden="1"/>
    <cellStyle name="Link" xfId="622" builtinId="8" hidden="1"/>
    <cellStyle name="Link" xfId="624" builtinId="8" hidden="1"/>
    <cellStyle name="Link" xfId="626" builtinId="8" hidden="1"/>
    <cellStyle name="Link" xfId="628" builtinId="8" hidden="1"/>
    <cellStyle name="Link" xfId="630" builtinId="8" hidden="1"/>
    <cellStyle name="Link" xfId="632" builtinId="8" hidden="1"/>
    <cellStyle name="Link" xfId="634" builtinId="8" hidden="1"/>
    <cellStyle name="Link" xfId="636" builtinId="8" hidden="1"/>
    <cellStyle name="Link" xfId="638" builtinId="8" hidden="1"/>
    <cellStyle name="Link" xfId="640" builtinId="8" hidden="1"/>
    <cellStyle name="Link" xfId="642" builtinId="8" hidden="1"/>
    <cellStyle name="Link" xfId="644" builtinId="8" hidden="1"/>
    <cellStyle name="Link" xfId="646" builtinId="8" hidden="1"/>
    <cellStyle name="Link" xfId="648" builtinId="8" hidden="1"/>
    <cellStyle name="Link" xfId="650" builtinId="8" hidden="1"/>
    <cellStyle name="Link" xfId="652" builtinId="8" hidden="1"/>
    <cellStyle name="Link" xfId="654" builtinId="8" hidden="1"/>
    <cellStyle name="Link" xfId="656" builtinId="8" hidden="1"/>
    <cellStyle name="Link" xfId="658" builtinId="8" hidden="1"/>
    <cellStyle name="Link" xfId="660" builtinId="8" hidden="1"/>
    <cellStyle name="Link" xfId="662" builtinId="8" hidden="1"/>
    <cellStyle name="Link" xfId="664" builtinId="8" hidden="1"/>
    <cellStyle name="Link" xfId="666" builtinId="8" hidden="1"/>
    <cellStyle name="Link" xfId="668" builtinId="8" hidden="1"/>
    <cellStyle name="Link" xfId="670" builtinId="8" hidden="1"/>
    <cellStyle name="Link" xfId="672" builtinId="8" hidden="1"/>
    <cellStyle name="Link" xfId="674" builtinId="8" hidden="1"/>
    <cellStyle name="Link" xfId="676" builtinId="8" hidden="1"/>
    <cellStyle name="Link" xfId="678" builtinId="8" hidden="1"/>
    <cellStyle name="Link" xfId="680" builtinId="8" hidden="1"/>
    <cellStyle name="Link" xfId="682" builtinId="8" hidden="1"/>
    <cellStyle name="Link" xfId="684" builtinId="8" hidden="1"/>
    <cellStyle name="Link" xfId="686" builtinId="8" hidden="1"/>
    <cellStyle name="Link" xfId="688" builtinId="8" hidden="1"/>
    <cellStyle name="Link" xfId="690" builtinId="8" hidden="1"/>
    <cellStyle name="Link" xfId="692" builtinId="8" hidden="1"/>
    <cellStyle name="Link" xfId="694" builtinId="8" hidden="1"/>
    <cellStyle name="Link" xfId="696" builtinId="8" hidden="1"/>
    <cellStyle name="Link" xfId="698" builtinId="8" hidden="1"/>
    <cellStyle name="Link" xfId="700" builtinId="8" hidden="1"/>
    <cellStyle name="Link" xfId="702" builtinId="8" hidden="1"/>
    <cellStyle name="Link" xfId="704" builtinId="8" hidden="1"/>
    <cellStyle name="Link" xfId="706" builtinId="8" hidden="1"/>
    <cellStyle name="Link" xfId="708" builtinId="8" hidden="1"/>
    <cellStyle name="Link" xfId="710" builtinId="8" hidden="1"/>
    <cellStyle name="Link" xfId="712" builtinId="8" hidden="1"/>
    <cellStyle name="Link" xfId="714" builtinId="8" hidden="1"/>
    <cellStyle name="Link" xfId="716" builtinId="8" hidden="1"/>
    <cellStyle name="Link" xfId="718" builtinId="8" hidden="1"/>
    <cellStyle name="Link" xfId="720" builtinId="8" hidden="1"/>
    <cellStyle name="Link" xfId="722" builtinId="8" hidden="1"/>
    <cellStyle name="Link" xfId="724" builtinId="8" hidden="1"/>
    <cellStyle name="Link" xfId="726" builtinId="8" hidden="1"/>
    <cellStyle name="Link" xfId="728" builtinId="8" hidden="1"/>
    <cellStyle name="Link" xfId="730" builtinId="8" hidden="1"/>
    <cellStyle name="Link" xfId="732" builtinId="8" hidden="1"/>
    <cellStyle name="Link" xfId="734" builtinId="8" hidden="1"/>
    <cellStyle name="Link" xfId="736" builtinId="8" hidden="1"/>
    <cellStyle name="Link" xfId="738" builtinId="8" hidden="1"/>
    <cellStyle name="Link" xfId="740" builtinId="8" hidden="1"/>
    <cellStyle name="Link" xfId="742" builtinId="8" hidden="1"/>
    <cellStyle name="Link" xfId="744" builtinId="8" hidden="1"/>
    <cellStyle name="Link" xfId="746" builtinId="8" hidden="1"/>
    <cellStyle name="Link" xfId="748" builtinId="8" hidden="1"/>
    <cellStyle name="Link" xfId="750" builtinId="8" hidden="1"/>
    <cellStyle name="Link" xfId="752" builtinId="8" hidden="1"/>
    <cellStyle name="Link" xfId="754" builtinId="8" hidden="1"/>
    <cellStyle name="Link" xfId="756" builtinId="8" hidden="1"/>
    <cellStyle name="Link" xfId="758" builtinId="8" hidden="1"/>
    <cellStyle name="Link" xfId="760" builtinId="8" hidden="1"/>
    <cellStyle name="Link" xfId="762" builtinId="8" hidden="1"/>
    <cellStyle name="Link" xfId="764" builtinId="8" hidden="1"/>
    <cellStyle name="Link" xfId="766" builtinId="8" hidden="1"/>
    <cellStyle name="Link" xfId="768" builtinId="8" hidden="1"/>
    <cellStyle name="Link" xfId="770" builtinId="8" hidden="1"/>
    <cellStyle name="Link" xfId="772" builtinId="8" hidden="1"/>
    <cellStyle name="Link" xfId="774" builtinId="8" hidden="1"/>
    <cellStyle name="Link" xfId="776" builtinId="8" hidden="1"/>
    <cellStyle name="Link" xfId="778" builtinId="8" hidden="1"/>
    <cellStyle name="Link" xfId="780" builtinId="8" hidden="1"/>
    <cellStyle name="Link" xfId="782" builtinId="8" hidden="1"/>
    <cellStyle name="Link" xfId="784" builtinId="8" hidden="1"/>
    <cellStyle name="Link" xfId="786" builtinId="8" hidden="1"/>
    <cellStyle name="Link" xfId="788" builtinId="8" hidden="1"/>
    <cellStyle name="Link" xfId="790" builtinId="8" hidden="1"/>
    <cellStyle name="Link" xfId="792" builtinId="8" hidden="1"/>
    <cellStyle name="Link" xfId="794" builtinId="8" hidden="1"/>
    <cellStyle name="Link" xfId="796" builtinId="8" hidden="1"/>
    <cellStyle name="Link" xfId="798" builtinId="8" hidden="1"/>
    <cellStyle name="Link" xfId="800" builtinId="8" hidden="1"/>
    <cellStyle name="Link" xfId="802" builtinId="8" hidden="1"/>
    <cellStyle name="Link" xfId="804" builtinId="8" hidden="1"/>
    <cellStyle name="Link" xfId="806" builtinId="8" hidden="1"/>
    <cellStyle name="Link" xfId="808" builtinId="8" hidden="1"/>
    <cellStyle name="Link" xfId="810" builtinId="8" hidden="1"/>
    <cellStyle name="Link" xfId="812" builtinId="8" hidden="1"/>
    <cellStyle name="Link" xfId="814" builtinId="8" hidden="1"/>
    <cellStyle name="Link" xfId="816" builtinId="8" hidden="1"/>
    <cellStyle name="Link" xfId="818" builtinId="8" hidden="1"/>
    <cellStyle name="Link" xfId="820" builtinId="8" hidden="1"/>
    <cellStyle name="Link" xfId="822" builtinId="8" hidden="1"/>
    <cellStyle name="Link" xfId="824" builtinId="8" hidden="1"/>
    <cellStyle name="Link" xfId="826" builtinId="8" hidden="1"/>
    <cellStyle name="Link" xfId="828" builtinId="8" hidden="1"/>
    <cellStyle name="Link" xfId="830" builtinId="8" hidden="1"/>
    <cellStyle name="Link" xfId="832" builtinId="8" hidden="1"/>
    <cellStyle name="Link" xfId="834" builtinId="8" hidden="1"/>
    <cellStyle name="Link" xfId="836" builtinId="8" hidden="1"/>
    <cellStyle name="Link" xfId="838" builtinId="8" hidden="1"/>
    <cellStyle name="Link" xfId="840" builtinId="8" hidden="1"/>
    <cellStyle name="Link" xfId="842" builtinId="8" hidden="1"/>
    <cellStyle name="Link" xfId="844" builtinId="8" hidden="1"/>
    <cellStyle name="Link" xfId="846" builtinId="8" hidden="1"/>
    <cellStyle name="Link" xfId="848" builtinId="8" hidden="1"/>
    <cellStyle name="Link" xfId="850" builtinId="8" hidden="1"/>
    <cellStyle name="Link" xfId="852" builtinId="8" hidden="1"/>
    <cellStyle name="Link" xfId="854" builtinId="8" hidden="1"/>
    <cellStyle name="Link" xfId="856" builtinId="8" hidden="1"/>
    <cellStyle name="Link" xfId="858" builtinId="8" hidden="1"/>
    <cellStyle name="Link" xfId="860" builtinId="8" hidden="1"/>
    <cellStyle name="Link" xfId="862" builtinId="8" hidden="1"/>
    <cellStyle name="Link" xfId="864" builtinId="8" hidden="1"/>
    <cellStyle name="Link" xfId="866" builtinId="8" hidden="1"/>
    <cellStyle name="Link" xfId="868" builtinId="8" hidden="1"/>
    <cellStyle name="Link" xfId="870" builtinId="8" hidden="1"/>
    <cellStyle name="Link" xfId="872" builtinId="8" hidden="1"/>
    <cellStyle name="Link" xfId="874" builtinId="8" hidden="1"/>
    <cellStyle name="Link" xfId="876" builtinId="8" hidden="1"/>
    <cellStyle name="Link" xfId="878" builtinId="8" hidden="1"/>
    <cellStyle name="Link" xfId="880" builtinId="8" hidden="1"/>
    <cellStyle name="Link" xfId="882" builtinId="8" hidden="1"/>
    <cellStyle name="Link" xfId="884" builtinId="8" hidden="1"/>
    <cellStyle name="Link" xfId="886" builtinId="8" hidden="1"/>
    <cellStyle name="Link" xfId="888" builtinId="8" hidden="1"/>
    <cellStyle name="Link" xfId="890" builtinId="8" hidden="1"/>
    <cellStyle name="Link" xfId="892" builtinId="8" hidden="1"/>
    <cellStyle name="Link" xfId="894" builtinId="8" hidden="1"/>
    <cellStyle name="Link" xfId="896" builtinId="8" hidden="1"/>
    <cellStyle name="Link" xfId="898" builtinId="8" hidden="1"/>
    <cellStyle name="Link" xfId="900" builtinId="8" hidden="1"/>
    <cellStyle name="Link" xfId="902" builtinId="8" hidden="1"/>
    <cellStyle name="Link" xfId="904" builtinId="8" hidden="1"/>
    <cellStyle name="Link" xfId="906" builtinId="8" hidden="1"/>
    <cellStyle name="Link" xfId="908" builtinId="8" hidden="1"/>
    <cellStyle name="Link" xfId="910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Link" xfId="923" builtinId="8" hidden="1"/>
    <cellStyle name="Link" xfId="925" builtinId="8" hidden="1"/>
    <cellStyle name="Link" xfId="927" builtinId="8" hidden="1"/>
    <cellStyle name="Link" xfId="929" builtinId="8" hidden="1"/>
    <cellStyle name="Link" xfId="931" builtinId="8" hidden="1"/>
    <cellStyle name="Link" xfId="933" builtinId="8" hidden="1"/>
    <cellStyle name="Link" xfId="935" builtinId="8" hidden="1"/>
    <cellStyle name="Link" xfId="937" builtinId="8" hidden="1"/>
    <cellStyle name="Link" xfId="939" builtinId="8" hidden="1"/>
    <cellStyle name="Link" xfId="941" builtinId="8" hidden="1"/>
    <cellStyle name="Link" xfId="943" builtinId="8" hidden="1"/>
    <cellStyle name="Link" xfId="945" builtinId="8" hidden="1"/>
    <cellStyle name="Link" xfId="947" builtinId="8" hidden="1"/>
    <cellStyle name="Link" xfId="949" builtinId="8" hidden="1"/>
    <cellStyle name="Link" xfId="951" builtinId="8" hidden="1"/>
    <cellStyle name="Link" xfId="953" builtinId="8" hidden="1"/>
    <cellStyle name="Link" xfId="955" builtinId="8" hidden="1"/>
    <cellStyle name="Link" xfId="957" builtinId="8" hidden="1"/>
    <cellStyle name="Link" xfId="959" builtinId="8" hidden="1"/>
    <cellStyle name="Link" xfId="961" builtinId="8" hidden="1"/>
    <cellStyle name="Link" xfId="963" builtinId="8" hidden="1"/>
    <cellStyle name="Link" xfId="965" builtinId="8" hidden="1"/>
    <cellStyle name="Link" xfId="967" builtinId="8" hidden="1"/>
    <cellStyle name="Link" xfId="969" builtinId="8" hidden="1"/>
    <cellStyle name="Link" xfId="971" builtinId="8" hidden="1"/>
    <cellStyle name="Link" xfId="973" builtinId="8" hidden="1"/>
    <cellStyle name="Link" xfId="975" builtinId="8" hidden="1"/>
    <cellStyle name="Link" xfId="977" builtinId="8" hidden="1"/>
    <cellStyle name="Link" xfId="979" builtinId="8" hidden="1"/>
    <cellStyle name="Link" xfId="981" builtinId="8" hidden="1"/>
    <cellStyle name="Link" xfId="983" builtinId="8" hidden="1"/>
    <cellStyle name="Link" xfId="985" builtinId="8" hidden="1"/>
    <cellStyle name="Link" xfId="987" builtinId="8" hidden="1"/>
    <cellStyle name="Link" xfId="989" builtinId="8" hidden="1"/>
    <cellStyle name="Link" xfId="991" builtinId="8" hidden="1"/>
    <cellStyle name="Link" xfId="993" builtinId="8" hidden="1"/>
    <cellStyle name="Link" xfId="995" builtinId="8" hidden="1"/>
    <cellStyle name="Link" xfId="997" builtinId="8" hidden="1"/>
    <cellStyle name="Link" xfId="999" builtinId="8" hidden="1"/>
    <cellStyle name="Link" xfId="1001" builtinId="8" hidden="1"/>
    <cellStyle name="Link" xfId="1003" builtinId="8" hidden="1"/>
    <cellStyle name="Link" xfId="1005" builtinId="8" hidden="1"/>
    <cellStyle name="Link" xfId="1007" builtinId="8" hidden="1"/>
    <cellStyle name="Link" xfId="1009" builtinId="8" hidden="1"/>
    <cellStyle name="Link" xfId="1011" builtinId="8" hidden="1"/>
    <cellStyle name="Link" xfId="1013" builtinId="8" hidden="1"/>
    <cellStyle name="Link" xfId="1015" builtinId="8" hidden="1"/>
    <cellStyle name="Link" xfId="1017" builtinId="8" hidden="1"/>
    <cellStyle name="Link" xfId="1019" builtinId="8" hidden="1"/>
    <cellStyle name="Link" xfId="1021" builtinId="8" hidden="1"/>
    <cellStyle name="Link" xfId="1023" builtinId="8" hidden="1"/>
    <cellStyle name="Link" xfId="1025" builtinId="8" hidden="1"/>
    <cellStyle name="Link" xfId="1027" builtinId="8" hidden="1"/>
    <cellStyle name="Link" xfId="1029" builtinId="8" hidden="1"/>
    <cellStyle name="Link" xfId="1031" builtinId="8" hidden="1"/>
    <cellStyle name="Link" xfId="1033" builtinId="8" hidden="1"/>
    <cellStyle name="Link" xfId="1035" builtinId="8" hidden="1"/>
    <cellStyle name="Link" xfId="1037" builtinId="8" hidden="1"/>
    <cellStyle name="Link" xfId="1039" builtinId="8" hidden="1"/>
    <cellStyle name="Link" xfId="1041" builtinId="8" hidden="1"/>
    <cellStyle name="Link" xfId="1043" builtinId="8" hidden="1"/>
    <cellStyle name="Link" xfId="1045" builtinId="8" hidden="1"/>
    <cellStyle name="Link" xfId="1047" builtinId="8" hidden="1"/>
    <cellStyle name="Link" xfId="1049" builtinId="8" hidden="1"/>
    <cellStyle name="Link" xfId="1051" builtinId="8" hidden="1"/>
    <cellStyle name="Link" xfId="1053" builtinId="8" hidden="1"/>
    <cellStyle name="Link" xfId="1055" builtinId="8" hidden="1"/>
    <cellStyle name="Link" xfId="1057" builtinId="8" hidden="1"/>
    <cellStyle name="Link" xfId="1059" builtinId="8" hidden="1"/>
    <cellStyle name="Link" xfId="1061" builtinId="8" hidden="1"/>
    <cellStyle name="Link" xfId="1063" builtinId="8" hidden="1"/>
    <cellStyle name="Link" xfId="1065" builtinId="8" hidden="1"/>
    <cellStyle name="Link" xfId="1067" builtinId="8" hidden="1"/>
    <cellStyle name="Link" xfId="1069" builtinId="8" hidden="1"/>
    <cellStyle name="Link" xfId="1071" builtinId="8" hidden="1"/>
    <cellStyle name="Link" xfId="1073" builtinId="8" hidden="1"/>
    <cellStyle name="Link" xfId="1075" builtinId="8" hidden="1"/>
    <cellStyle name="Link" xfId="1077" builtinId="8" hidden="1"/>
    <cellStyle name="Link" xfId="1079" builtinId="8" hidden="1"/>
    <cellStyle name="Link" xfId="1081" builtinId="8" hidden="1"/>
    <cellStyle name="Link" xfId="1083" builtinId="8" hidden="1"/>
    <cellStyle name="Link" xfId="1085" builtinId="8" hidden="1"/>
    <cellStyle name="Link" xfId="1087" builtinId="8" hidden="1"/>
    <cellStyle name="Link" xfId="1089" builtinId="8" hidden="1"/>
    <cellStyle name="Link" xfId="1091" builtinId="8" hidden="1"/>
    <cellStyle name="Link" xfId="1093" builtinId="8" hidden="1"/>
    <cellStyle name="Link" xfId="1095" builtinId="8" hidden="1"/>
    <cellStyle name="Link" xfId="1097" builtinId="8" hidden="1"/>
    <cellStyle name="Link" xfId="1099" builtinId="8" hidden="1"/>
    <cellStyle name="Standard" xfId="0" builtinId="0"/>
    <cellStyle name="Standard 2" xfId="23"/>
    <cellStyle name="Standard 3" xfId="1101"/>
  </cellStyles>
  <dxfs count="0"/>
  <tableStyles count="0" defaultTableStyle="TableStyleMedium9" defaultPivotStyle="PivotStyleMedium7"/>
  <colors>
    <mruColors>
      <color rgb="FFFF2600"/>
      <color rgb="FFFFE699"/>
      <color rgb="FFFFAAC7"/>
      <color rgb="FFC2B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69504073760448E-2"/>
          <c:y val="3.5350496248090134E-2"/>
          <c:w val="0.72514785183164321"/>
          <c:h val="0.77104847496896389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'Energy and Cost'!$T$35</c:f>
              <c:strCache>
                <c:ptCount val="1"/>
                <c:pt idx="0">
                  <c:v>Pos. current coll.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Cost'!$T$36:$T$39</c:f>
              <c:numCache>
                <c:formatCode>0.00</c:formatCode>
                <c:ptCount val="4"/>
                <c:pt idx="0">
                  <c:v>1.3332557853105798</c:v>
                </c:pt>
                <c:pt idx="1">
                  <c:v>2.0521851030325595</c:v>
                </c:pt>
                <c:pt idx="2">
                  <c:v>2.05218510303256</c:v>
                </c:pt>
                <c:pt idx="3">
                  <c:v>2.1229501065854071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DE-7D4F-BB32-D2717E924008}"/>
            </c:ext>
          </c:extLst>
        </c:ser>
        <c:ser>
          <c:idx val="0"/>
          <c:order val="1"/>
          <c:tx>
            <c:strRef>
              <c:f>'Energy and Cost'!$Q$35</c:f>
              <c:strCache>
                <c:ptCount val="1"/>
                <c:pt idx="0">
                  <c:v>Cathode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Cost'!$Q$36:$Q$39</c:f>
              <c:numCache>
                <c:formatCode>0.00</c:formatCode>
                <c:ptCount val="4"/>
                <c:pt idx="0">
                  <c:v>34.090909090909086</c:v>
                </c:pt>
                <c:pt idx="1">
                  <c:v>7.9365079365079341</c:v>
                </c:pt>
                <c:pt idx="2">
                  <c:v>7.9365079365079358</c:v>
                </c:pt>
                <c:pt idx="3">
                  <c:v>8.2101806239737272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DE-7D4F-BB32-D2717E924008}"/>
            </c:ext>
          </c:extLst>
        </c:ser>
        <c:ser>
          <c:idx val="4"/>
          <c:order val="2"/>
          <c:tx>
            <c:strRef>
              <c:f>'Energy and Cost'!$V$35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Cost'!$V$36:$V$39</c:f>
              <c:numCache>
                <c:formatCode>0.00</c:formatCode>
                <c:ptCount val="4"/>
                <c:pt idx="0">
                  <c:v>13.716623305664402</c:v>
                </c:pt>
                <c:pt idx="1">
                  <c:v>9.3952918811675801</c:v>
                </c:pt>
                <c:pt idx="2">
                  <c:v>8.5507712626356653</c:v>
                </c:pt>
                <c:pt idx="3">
                  <c:v>8.5726123131149397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3DE-7D4F-BB32-D2717E924008}"/>
            </c:ext>
          </c:extLst>
        </c:ser>
        <c:ser>
          <c:idx val="2"/>
          <c:order val="3"/>
          <c:tx>
            <c:strRef>
              <c:f>'Energy and Cost'!$S$35</c:f>
              <c:strCache>
                <c:ptCount val="1"/>
                <c:pt idx="0">
                  <c:v>Liquid electrolyte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Cost'!$S$36:$S$39</c:f>
              <c:numCache>
                <c:formatCode>0.00</c:formatCode>
                <c:ptCount val="4"/>
                <c:pt idx="0">
                  <c:v>8.3071418687857044</c:v>
                </c:pt>
                <c:pt idx="1">
                  <c:v>54.95316777802649</c:v>
                </c:pt>
                <c:pt idx="2">
                  <c:v>54.948487726265469</c:v>
                </c:pt>
                <c:pt idx="3">
                  <c:v>14.066531991721936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3DE-7D4F-BB32-D2717E924008}"/>
            </c:ext>
          </c:extLst>
        </c:ser>
        <c:ser>
          <c:idx val="1"/>
          <c:order val="4"/>
          <c:tx>
            <c:strRef>
              <c:f>'Energy and Cost'!$R$35</c:f>
              <c:strCache>
                <c:ptCount val="1"/>
                <c:pt idx="0">
                  <c:v>Anode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Cost'!$R$36:$R$39</c:f>
              <c:numCache>
                <c:formatCode>0.00</c:formatCode>
                <c:ptCount val="4"/>
                <c:pt idx="0">
                  <c:v>12.03703703703704</c:v>
                </c:pt>
                <c:pt idx="1">
                  <c:v>2.8607392150131594</c:v>
                </c:pt>
                <c:pt idx="2">
                  <c:v>3.0864197530864197</c:v>
                </c:pt>
                <c:pt idx="3">
                  <c:v>4.210349037935246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DE-7D4F-BB32-D2717E924008}"/>
            </c:ext>
          </c:extLst>
        </c:ser>
        <c:ser>
          <c:idx val="5"/>
          <c:order val="5"/>
          <c:tx>
            <c:strRef>
              <c:f>'Energy and Cost'!$U$35</c:f>
              <c:strCache>
                <c:ptCount val="1"/>
                <c:pt idx="0">
                  <c:v>Neg. current coll.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'Energy and Cost'!$A$36:$A$39</c:f>
              <c:strCache>
                <c:ptCount val="4"/>
                <c:pt idx="0">
                  <c:v>LFP/C Lithium Ion Battery</c:v>
                </c:pt>
                <c:pt idx="1">
                  <c:v>Gr/Li Dual Ion Battery with LiPF6</c:v>
                </c:pt>
                <c:pt idx="2">
                  <c:v>Gr/Gr Dual Graphite Battery with LiPF6</c:v>
                </c:pt>
                <c:pt idx="3">
                  <c:v>Gr/Gr Dual Graphite Battery with KPF6</c:v>
                </c:pt>
              </c:strCache>
            </c:strRef>
          </c:cat>
          <c:val>
            <c:numRef>
              <c:f>'Energy and Cost'!$U$36:$U$39</c:f>
              <c:numCache>
                <c:formatCode>0.00</c:formatCode>
                <c:ptCount val="4"/>
                <c:pt idx="0">
                  <c:v>6.390849130575158</c:v>
                </c:pt>
                <c:pt idx="1">
                  <c:v>9.8369761646597755</c:v>
                </c:pt>
                <c:pt idx="2">
                  <c:v>9.8369761646597773</c:v>
                </c:pt>
                <c:pt idx="3">
                  <c:v>2.1229501065854071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3DE-7D4F-BB32-D2717E92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318720"/>
        <c:axId val="192492792"/>
      </c:barChart>
      <c:catAx>
        <c:axId val="1923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492792"/>
        <c:crosses val="autoZero"/>
        <c:auto val="1"/>
        <c:lblAlgn val="ctr"/>
        <c:lblOffset val="100"/>
        <c:noMultiLvlLbl val="0"/>
      </c:catAx>
      <c:valAx>
        <c:axId val="1924927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charset="0"/>
                    <a:ea typeface="Calibri" charset="0"/>
                    <a:cs typeface="Calibri" charset="0"/>
                  </a:defRPr>
                </a:pPr>
                <a:r>
                  <a:rPr lang="de-DE" sz="1100">
                    <a:latin typeface="Calibri" charset="0"/>
                    <a:ea typeface="Calibri" charset="0"/>
                    <a:cs typeface="Calibri" charset="0"/>
                  </a:rPr>
                  <a:t>Costs in </a:t>
                </a:r>
                <a:r>
                  <a:rPr lang="mr-IN" sz="1100">
                    <a:latin typeface="Calibri" charset="0"/>
                    <a:ea typeface="Calibri" charset="0"/>
                    <a:cs typeface="Calibri" charset="0"/>
                  </a:rPr>
                  <a:t>[$/kWh]</a:t>
                </a:r>
                <a:endParaRPr lang="de-DE" sz="1100">
                  <a:latin typeface="Calibri" charset="0"/>
                  <a:ea typeface="Calibri" charset="0"/>
                  <a:cs typeface="Calibri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charset="0"/>
                  <a:ea typeface="Calibri" charset="0"/>
                  <a:cs typeface="Calibri" charset="0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318720"/>
        <c:crosses val="autoZero"/>
        <c:crossBetween val="between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4175783375753"/>
          <c:y val="0.43105397730755363"/>
          <c:w val="0.21099132861556899"/>
          <c:h val="0.41054204226801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backward val="1"/>
            <c:intercept val="0"/>
            <c:dispRSqr val="0"/>
            <c:dispEq val="0"/>
          </c:trendline>
          <c:yVal>
            <c:numRef>
              <c:f>'From Stack to Cell '!$H$13:$H$16</c:f>
              <c:numCache>
                <c:formatCode>0</c:formatCode>
                <c:ptCount val="4"/>
                <c:pt idx="0">
                  <c:v>71.54648456178019</c:v>
                </c:pt>
                <c:pt idx="1">
                  <c:v>129.96039322584633</c:v>
                </c:pt>
                <c:pt idx="2">
                  <c:v>178.55356368850605</c:v>
                </c:pt>
                <c:pt idx="3">
                  <c:v>217.9849890900939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9E7-F74E-9956-395828EC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583312"/>
        <c:axId val="73290984"/>
      </c:scatterChart>
      <c:valAx>
        <c:axId val="453583312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Salt concentration</a:t>
                </a:r>
                <a:r>
                  <a:rPr lang="de-DE" baseline="0"/>
                  <a:t> / mol/L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290984"/>
        <c:crosses val="autoZero"/>
        <c:crossBetween val="midCat"/>
        <c:majorUnit val="1"/>
      </c:valAx>
      <c:valAx>
        <c:axId val="73290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Energy density / Wh/L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358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backward val="1"/>
            <c:intercept val="0"/>
            <c:dispRSqr val="0"/>
            <c:dispEq val="0"/>
          </c:trendline>
          <c:yVal>
            <c:numRef>
              <c:f>'From Stack to Cell '!$I$13:$I$16</c:f>
              <c:numCache>
                <c:formatCode>0</c:formatCode>
                <c:ptCount val="4"/>
                <c:pt idx="0">
                  <c:v>51.700314562284952</c:v>
                </c:pt>
                <c:pt idx="1">
                  <c:v>84.879281864336974</c:v>
                </c:pt>
                <c:pt idx="2">
                  <c:v>107.97377440309171</c:v>
                </c:pt>
                <c:pt idx="3">
                  <c:v>122.32753531120098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548-A04F-B06D-F206F9140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0896"/>
        <c:axId val="453634968"/>
      </c:scatterChart>
      <c:valAx>
        <c:axId val="453760896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Salt concentration</a:t>
                </a:r>
                <a:r>
                  <a:rPr lang="de-DE" baseline="0"/>
                  <a:t> / mol/L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3634968"/>
        <c:crosses val="autoZero"/>
        <c:crossBetween val="midCat"/>
        <c:majorUnit val="1"/>
      </c:valAx>
      <c:valAx>
        <c:axId val="45363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Specific energy / Wh/kg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376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85413097231576E-2"/>
          <c:y val="4.965515854870154E-2"/>
          <c:w val="0.86993563510153304"/>
          <c:h val="0.85979162422693012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2E8B-D74B-A114-D0317884934B}"/>
              </c:ext>
            </c:extLst>
          </c:dPt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E8B-D74B-A114-D0317884934B}"/>
            </c:ext>
            <c:ext xmlns:c15="http://schemas.microsoft.com/office/drawing/2012/chart" uri="{02D57815-91ED-43cb-92C2-25804820EDAC}">
              <c15:filteredSeriesTitle>
                <c15:tx>
                  <c:v>150µm</c:v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05272"/>
        <c:axId val="73299736"/>
      </c:scatterChart>
      <c:valAx>
        <c:axId val="73305272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de-DE" sz="1200"/>
                  <a:t>Specific energy /</a:t>
                </a:r>
                <a:r>
                  <a:rPr lang="de-DE" sz="1200" baseline="0"/>
                  <a:t> </a:t>
                </a:r>
                <a:r>
                  <a:rPr lang="de-DE" sz="1200"/>
                  <a:t>Wh/kg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de-DE"/>
          </a:p>
        </c:txPr>
        <c:crossAx val="73299736"/>
        <c:crosses val="autoZero"/>
        <c:crossBetween val="midCat"/>
      </c:valAx>
      <c:valAx>
        <c:axId val="73299736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de-DE" sz="1200">
                    <a:latin typeface="Calibri" panose="020F0502020204030204" pitchFamily="34" charset="0"/>
                    <a:cs typeface="Calibri" panose="020F0502020204030204" pitchFamily="34" charset="0"/>
                  </a:rPr>
                  <a:t>Energy density /</a:t>
                </a:r>
                <a:r>
                  <a:rPr lang="de-DE" sz="1200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 </a:t>
                </a:r>
                <a:r>
                  <a:rPr lang="de-DE" sz="1200">
                    <a:latin typeface="Calibri" panose="020F0502020204030204" pitchFamily="34" charset="0"/>
                    <a:cs typeface="Calibri" panose="020F0502020204030204" pitchFamily="34" charset="0"/>
                  </a:rPr>
                  <a:t>Wh/L</a:t>
                </a:r>
              </a:p>
            </c:rich>
          </c:tx>
          <c:layout>
            <c:manualLayout>
              <c:xMode val="edge"/>
              <c:yMode val="edge"/>
              <c:x val="1.5485415434276529E-2"/>
              <c:y val="0.35042296932319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de-DE"/>
          </a:p>
        </c:txPr>
        <c:crossAx val="73305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de-D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0"/>
          <c:tx>
            <c:strRef>
              <c:f>'Mass and Volume Share'!$F$7</c:f>
              <c:strCache>
                <c:ptCount val="1"/>
                <c:pt idx="0">
                  <c:v>Pos. current coll.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Share'!$F$8:$F$9</c:f>
              <c:numCache>
                <c:formatCode>0.00000</c:formatCode>
                <c:ptCount val="2"/>
                <c:pt idx="0">
                  <c:v>4.9319999999999995E-4</c:v>
                </c:pt>
                <c:pt idx="1">
                  <c:v>4.9319999999999995E-4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0A3-934B-8019-E065AA46C46E}"/>
            </c:ext>
          </c:extLst>
        </c:ser>
        <c:ser>
          <c:idx val="0"/>
          <c:order val="1"/>
          <c:tx>
            <c:strRef>
              <c:f>'Mass and Volume Share'!$C$7</c:f>
              <c:strCache>
                <c:ptCount val="1"/>
                <c:pt idx="0">
                  <c:v>Cathode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Share'!$C$8:$C$9</c:f>
              <c:numCache>
                <c:formatCode>0.00000</c:formatCode>
                <c:ptCount val="2"/>
                <c:pt idx="0">
                  <c:v>3.7400999999999992E-3</c:v>
                </c:pt>
                <c:pt idx="1">
                  <c:v>3.7400999999999992E-3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A3-934B-8019-E065AA46C46E}"/>
            </c:ext>
          </c:extLst>
        </c:ser>
        <c:ser>
          <c:idx val="5"/>
          <c:order val="2"/>
          <c:tx>
            <c:strRef>
              <c:f>'Mass and Volume Share'!$H$7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Share'!$H$8:$H$9</c:f>
              <c:numCache>
                <c:formatCode>0.00000</c:formatCode>
                <c:ptCount val="2"/>
                <c:pt idx="0">
                  <c:v>7.0856400000000007E-3</c:v>
                </c:pt>
                <c:pt idx="1">
                  <c:v>1.3530119999999998E-3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0A3-934B-8019-E065AA46C46E}"/>
            </c:ext>
          </c:extLst>
        </c:ser>
        <c:ser>
          <c:idx val="2"/>
          <c:order val="3"/>
          <c:tx>
            <c:strRef>
              <c:f>'Mass and Volume Share'!$E$7</c:f>
              <c:strCache>
                <c:ptCount val="1"/>
                <c:pt idx="0">
                  <c:v>Liquid electrolyte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Share'!$E$8:$E$9</c:f>
              <c:numCache>
                <c:formatCode>0.00000</c:formatCode>
                <c:ptCount val="2"/>
                <c:pt idx="0">
                  <c:v>3.0470855000000005E-2</c:v>
                </c:pt>
                <c:pt idx="1">
                  <c:v>7.5403430000000006E-3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A3-934B-8019-E065AA46C46E}"/>
            </c:ext>
          </c:extLst>
        </c:ser>
        <c:ser>
          <c:idx val="1"/>
          <c:order val="4"/>
          <c:tx>
            <c:strRef>
              <c:f>'Mass and Volume Share'!$D$7</c:f>
              <c:strCache>
                <c:ptCount val="1"/>
                <c:pt idx="0">
                  <c:v>Anode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Share'!$D$8:$D$9</c:f>
              <c:numCache>
                <c:formatCode>0.00000</c:formatCode>
                <c:ptCount val="2"/>
                <c:pt idx="0">
                  <c:v>1.2259216666666692E-3</c:v>
                </c:pt>
                <c:pt idx="1">
                  <c:v>1.2259216666666692E-3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A3-934B-8019-E065AA46C46E}"/>
            </c:ext>
          </c:extLst>
        </c:ser>
        <c:ser>
          <c:idx val="4"/>
          <c:order val="5"/>
          <c:tx>
            <c:strRef>
              <c:f>'Mass and Volume Share'!$G$7</c:f>
              <c:strCache>
                <c:ptCount val="1"/>
                <c:pt idx="0">
                  <c:v>Neg. current coll.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Share'!$G$8:$G$9</c:f>
              <c:numCache>
                <c:formatCode>0.00000</c:formatCode>
                <c:ptCount val="2"/>
                <c:pt idx="0">
                  <c:v>3.2880000000000002E-4</c:v>
                </c:pt>
                <c:pt idx="1">
                  <c:v>3.2880000000000002E-4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0A3-934B-8019-E065AA46C46E}"/>
            </c:ext>
          </c:extLst>
        </c:ser>
        <c:ser>
          <c:idx val="6"/>
          <c:order val="6"/>
          <c:tx>
            <c:strRef>
              <c:f>'Mass and Volume Share'!$I$7</c:f>
              <c:strCache>
                <c:ptCount val="1"/>
                <c:pt idx="0">
                  <c:v>Cell housing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Share'!$I$8:$I$9</c:f>
              <c:numCache>
                <c:formatCode>0.00000</c:formatCode>
                <c:ptCount val="2"/>
                <c:pt idx="0">
                  <c:v>9.3860388888888924E-3</c:v>
                </c:pt>
                <c:pt idx="1">
                  <c:v>3.1791788888888891E-3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0A3-934B-8019-E065AA46C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175624"/>
        <c:axId val="454176016"/>
      </c:barChart>
      <c:catAx>
        <c:axId val="454175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Salt concentration / mol/L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176016"/>
        <c:crosses val="autoZero"/>
        <c:auto val="1"/>
        <c:lblAlgn val="ctr"/>
        <c:lblOffset val="100"/>
        <c:noMultiLvlLbl val="0"/>
      </c:catAx>
      <c:valAx>
        <c:axId val="454176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Volume fraction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in"/>
        <c:minorTickMark val="in"/>
        <c:tickLblPos val="nextTo"/>
        <c:spPr>
          <a:noFill/>
          <a:ln>
            <a:solidFill>
              <a:schemeClr val="accen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175624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3"/>
          <c:order val="0"/>
          <c:tx>
            <c:strRef>
              <c:f>'Mass and Volume Share'!$F$7</c:f>
              <c:strCache>
                <c:ptCount val="1"/>
                <c:pt idx="0">
                  <c:v>Pos. current coll.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Share'!$F$3:$F$4</c:f>
              <c:numCache>
                <c:formatCode>0.0</c:formatCode>
                <c:ptCount val="2"/>
                <c:pt idx="0">
                  <c:v>1.1636712667788049</c:v>
                </c:pt>
                <c:pt idx="1">
                  <c:v>1.2656188877731429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C1-A449-BD44-8069EE5A0D4F}"/>
            </c:ext>
          </c:extLst>
        </c:ser>
        <c:ser>
          <c:idx val="0"/>
          <c:order val="1"/>
          <c:tx>
            <c:strRef>
              <c:f>'Mass and Volume Share'!$C$7</c:f>
              <c:strCache>
                <c:ptCount val="1"/>
                <c:pt idx="0">
                  <c:v>Cathode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Share'!$C$3:$C$4</c:f>
              <c:numCache>
                <c:formatCode>0.0</c:formatCode>
                <c:ptCount val="2"/>
                <c:pt idx="0">
                  <c:v>6.0350180875340653</c:v>
                </c:pt>
                <c:pt idx="1">
                  <c:v>6.5637376273616717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C1-A449-BD44-8069EE5A0D4F}"/>
            </c:ext>
          </c:extLst>
        </c:ser>
        <c:ser>
          <c:idx val="5"/>
          <c:order val="2"/>
          <c:tx>
            <c:strRef>
              <c:f>'Mass and Volume Share'!$H$7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Share'!$H$3:$H$4</c:f>
              <c:numCache>
                <c:formatCode>0.0</c:formatCode>
                <c:ptCount val="2"/>
                <c:pt idx="0">
                  <c:v>6.155246348782458</c:v>
                </c:pt>
                <c:pt idx="1">
                  <c:v>1.2216347251918911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C1-A449-BD44-8069EE5A0D4F}"/>
            </c:ext>
          </c:extLst>
        </c:ser>
        <c:ser>
          <c:idx val="2"/>
          <c:order val="3"/>
          <c:tx>
            <c:strRef>
              <c:f>'Mass and Volume Share'!$E$7</c:f>
              <c:strCache>
                <c:ptCount val="1"/>
                <c:pt idx="0">
                  <c:v>Liquid electrolyte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Share'!$E$3:$E$4</c:f>
              <c:numCache>
                <c:formatCode>0.0</c:formatCode>
                <c:ptCount val="2"/>
                <c:pt idx="0">
                  <c:v>24.076459432994831</c:v>
                </c:pt>
                <c:pt idx="1">
                  <c:v>8.2472103268661776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FC1-A449-BD44-8069EE5A0D4F}"/>
            </c:ext>
          </c:extLst>
        </c:ser>
        <c:ser>
          <c:idx val="1"/>
          <c:order val="4"/>
          <c:tx>
            <c:strRef>
              <c:f>'Mass and Volume Share'!$D$7</c:f>
              <c:strCache>
                <c:ptCount val="1"/>
                <c:pt idx="0">
                  <c:v>Anode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Share'!$D$3:$D$4</c:f>
              <c:numCache>
                <c:formatCode>0.0</c:formatCode>
                <c:ptCount val="2"/>
                <c:pt idx="0">
                  <c:v>2.3469514784854657</c:v>
                </c:pt>
                <c:pt idx="1">
                  <c:v>2.5525646328628677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FC1-A449-BD44-8069EE5A0D4F}"/>
            </c:ext>
          </c:extLst>
        </c:ser>
        <c:ser>
          <c:idx val="4"/>
          <c:order val="5"/>
          <c:tx>
            <c:strRef>
              <c:f>'Mass and Volume Share'!$G$7</c:f>
              <c:strCache>
                <c:ptCount val="1"/>
                <c:pt idx="0">
                  <c:v>Neg. current coll.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Share'!$G$3:$G$4</c:f>
              <c:numCache>
                <c:formatCode>0.0</c:formatCode>
                <c:ptCount val="2"/>
                <c:pt idx="0">
                  <c:v>2.5744430988489118</c:v>
                </c:pt>
                <c:pt idx="1">
                  <c:v>2.7999864776413239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FC1-A449-BD44-8069EE5A0D4F}"/>
            </c:ext>
          </c:extLst>
        </c:ser>
        <c:ser>
          <c:idx val="6"/>
          <c:order val="6"/>
          <c:tx>
            <c:strRef>
              <c:f>'Mass and Volume Share'!$I$7</c:f>
              <c:strCache>
                <c:ptCount val="1"/>
                <c:pt idx="0">
                  <c:v>Cell housing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'Mass and Volume Share'!$A$8:$A$9</c:f>
              <c:strCache>
                <c:ptCount val="2"/>
                <c:pt idx="0">
                  <c:v>1M</c:v>
                </c:pt>
                <c:pt idx="1">
                  <c:v>4M</c:v>
                </c:pt>
              </c:strCache>
            </c:strRef>
          </c:cat>
          <c:val>
            <c:numRef>
              <c:f>'Mass and Volume Share'!$I$3:$I$4</c:f>
              <c:numCache>
                <c:formatCode>0.0</c:formatCode>
                <c:ptCount val="2"/>
                <c:pt idx="0">
                  <c:v>18.040858646052161</c:v>
                </c:pt>
                <c:pt idx="1">
                  <c:v>6.6063639439821484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FC1-A449-BD44-8069EE5A0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176800"/>
        <c:axId val="454177192"/>
      </c:barChart>
      <c:catAx>
        <c:axId val="45417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Salt concentration / mol/L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177192"/>
        <c:crosses val="autoZero"/>
        <c:auto val="1"/>
        <c:lblAlgn val="ctr"/>
        <c:lblOffset val="100"/>
        <c:noMultiLvlLbl val="0"/>
      </c:catAx>
      <c:valAx>
        <c:axId val="454177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Mass fraction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in"/>
        <c:minorTickMark val="in"/>
        <c:tickLblPos val="nextTo"/>
        <c:spPr>
          <a:noFill/>
          <a:ln>
            <a:solidFill>
              <a:schemeClr val="accen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176800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6726</xdr:colOff>
      <xdr:row>14</xdr:row>
      <xdr:rowOff>0</xdr:rowOff>
    </xdr:from>
    <xdr:to>
      <xdr:col>15</xdr:col>
      <xdr:colOff>510275</xdr:colOff>
      <xdr:row>32</xdr:row>
      <xdr:rowOff>92243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38893</xdr:colOff>
      <xdr:row>14</xdr:row>
      <xdr:rowOff>182761</xdr:rowOff>
    </xdr:from>
    <xdr:ext cx="65" cy="172227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7768034" y="33676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600049</xdr:colOff>
      <xdr:row>18</xdr:row>
      <xdr:rowOff>55208</xdr:rowOff>
    </xdr:from>
    <xdr:to>
      <xdr:col>7</xdr:col>
      <xdr:colOff>393700</xdr:colOff>
      <xdr:row>31</xdr:row>
      <xdr:rowOff>156808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147047</xdr:colOff>
      <xdr:row>18</xdr:row>
      <xdr:rowOff>80608</xdr:rowOff>
    </xdr:from>
    <xdr:to>
      <xdr:col>10</xdr:col>
      <xdr:colOff>1954646</xdr:colOff>
      <xdr:row>31</xdr:row>
      <xdr:rowOff>178429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451322</xdr:colOff>
      <xdr:row>18</xdr:row>
      <xdr:rowOff>20991</xdr:rowOff>
    </xdr:from>
    <xdr:to>
      <xdr:col>4</xdr:col>
      <xdr:colOff>12181</xdr:colOff>
      <xdr:row>43</xdr:row>
      <xdr:rowOff>46444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0.08571</cdr:x>
      <cdr:y>0.73422</cdr:y>
    </cdr:from>
    <cdr:to>
      <cdr:x>0.17977</cdr:x>
      <cdr:y>0.78271</cdr:y>
    </cdr:to>
    <cdr:sp macro="" textlink="">
      <cdr:nvSpPr>
        <cdr:cNvPr id="19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45BC0DE1-0BB1-204D-A407-1AB9C2D05D6A}"/>
            </a:ext>
          </a:extLst>
        </cdr:cNvPr>
        <cdr:cNvSpPr txBox="1"/>
      </cdr:nvSpPr>
      <cdr:spPr>
        <a:xfrm xmlns:a="http://schemas.openxmlformats.org/drawingml/2006/main">
          <a:off x="760250" y="3748543"/>
          <a:ext cx="834308" cy="2475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solidFill>
                <a:schemeClr val="accent1"/>
              </a:solidFill>
              <a:latin typeface="Calibri" panose="020F0502020204030204" pitchFamily="34" charset="0"/>
              <a:ea typeface="Arial" charset="0"/>
              <a:cs typeface="Calibri" panose="020F0502020204030204" pitchFamily="34" charset="0"/>
            </a:rPr>
            <a:t>Lead Acid Batteries</a:t>
          </a:r>
        </a:p>
      </cdr:txBody>
    </cdr:sp>
  </cdr:relSizeAnchor>
  <cdr:relSizeAnchor xmlns:cdr="http://schemas.openxmlformats.org/drawingml/2006/chartDrawing">
    <cdr:from>
      <cdr:x>0.50035</cdr:x>
      <cdr:y>0.23876</cdr:y>
    </cdr:from>
    <cdr:to>
      <cdr:x>0.67934</cdr:x>
      <cdr:y>0.29191</cdr:y>
    </cdr:to>
    <cdr:sp macro="" textlink="">
      <cdr:nvSpPr>
        <cdr:cNvPr id="26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E6EF172F-DFF9-DF40-AA78-3DFDC6CBAA11}"/>
            </a:ext>
          </a:extLst>
        </cdr:cNvPr>
        <cdr:cNvSpPr txBox="1"/>
      </cdr:nvSpPr>
      <cdr:spPr>
        <a:xfrm xmlns:a="http://schemas.openxmlformats.org/drawingml/2006/main">
          <a:off x="4438105" y="1218992"/>
          <a:ext cx="1587573" cy="27131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solidFill>
                <a:srgbClr val="FF0000"/>
              </a:solidFill>
              <a:latin typeface="Calibri" panose="020F0502020204030204" pitchFamily="34" charset="0"/>
              <a:ea typeface="Arial" charset="0"/>
              <a:cs typeface="Calibri" panose="020F0502020204030204" pitchFamily="34" charset="0"/>
            </a:rPr>
            <a:t>Lithium Ion Batteries</a:t>
          </a:r>
        </a:p>
      </cdr:txBody>
    </cdr:sp>
  </cdr:relSizeAnchor>
  <cdr:relSizeAnchor xmlns:cdr="http://schemas.openxmlformats.org/drawingml/2006/chartDrawing">
    <cdr:from>
      <cdr:x>0.19957</cdr:x>
      <cdr:y>0.80909</cdr:y>
    </cdr:from>
    <cdr:to>
      <cdr:x>0.21937</cdr:x>
      <cdr:y>0.83502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xmlns="" id="{56AF2CA5-4B7E-F742-A189-CC808403A562}"/>
            </a:ext>
          </a:extLst>
        </cdr:cNvPr>
        <cdr:cNvSpPr/>
      </cdr:nvSpPr>
      <cdr:spPr>
        <a:xfrm xmlns:a="http://schemas.openxmlformats.org/drawingml/2006/main">
          <a:off x="1542789" y="3943971"/>
          <a:ext cx="153033" cy="12640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0.1148</cdr:x>
      <cdr:y>0.83494</cdr:y>
    </cdr:from>
    <cdr:to>
      <cdr:x>0.1346</cdr:x>
      <cdr:y>0.86087</cdr:y>
    </cdr:to>
    <cdr:sp macro="" textlink="">
      <cdr:nvSpPr>
        <cdr:cNvPr id="16" name="Oval 15">
          <a:extLst xmlns:a="http://schemas.openxmlformats.org/drawingml/2006/main">
            <a:ext uri="{FF2B5EF4-FFF2-40B4-BE49-F238E27FC236}">
              <a16:creationId xmlns:a16="http://schemas.microsoft.com/office/drawing/2014/main" xmlns="" id="{FCE536C7-12CF-4A42-B3AC-E85058DD7724}"/>
            </a:ext>
          </a:extLst>
        </cdr:cNvPr>
        <cdr:cNvSpPr/>
      </cdr:nvSpPr>
      <cdr:spPr>
        <a:xfrm xmlns:a="http://schemas.openxmlformats.org/drawingml/2006/main">
          <a:off x="887505" y="4069977"/>
          <a:ext cx="153033" cy="126402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0.10802</cdr:x>
      <cdr:y>0.80549</cdr:y>
    </cdr:from>
    <cdr:to>
      <cdr:x>0.22399</cdr:x>
      <cdr:y>0.86546</cdr:y>
    </cdr:to>
    <cdr:sp macro="" textlink="">
      <cdr:nvSpPr>
        <cdr:cNvPr id="17" name="Oval 16">
          <a:extLst xmlns:a="http://schemas.openxmlformats.org/drawingml/2006/main">
            <a:ext uri="{FF2B5EF4-FFF2-40B4-BE49-F238E27FC236}">
              <a16:creationId xmlns:a16="http://schemas.microsoft.com/office/drawing/2014/main" xmlns="" id="{FBB60903-110B-9944-A6B2-407F0BF4DD58}"/>
            </a:ext>
          </a:extLst>
        </cdr:cNvPr>
        <cdr:cNvSpPr/>
      </cdr:nvSpPr>
      <cdr:spPr>
        <a:xfrm xmlns:a="http://schemas.openxmlformats.org/drawingml/2006/main" rot="20940456">
          <a:off x="835052" y="3926410"/>
          <a:ext cx="896491" cy="292314"/>
        </a:xfrm>
        <a:prstGeom xmlns:a="http://schemas.openxmlformats.org/drawingml/2006/main" prst="ellipse">
          <a:avLst/>
        </a:prstGeom>
        <a:gradFill xmlns:a="http://schemas.openxmlformats.org/drawingml/2006/main"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81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0.23463</cdr:x>
      <cdr:y>0.68079</cdr:y>
    </cdr:from>
    <cdr:to>
      <cdr:x>0.58143</cdr:x>
      <cdr:y>0.77014</cdr:y>
    </cdr:to>
    <cdr:sp macro="" textlink="">
      <cdr:nvSpPr>
        <cdr:cNvPr id="27" name="Oval 26">
          <a:extLst xmlns:a="http://schemas.openxmlformats.org/drawingml/2006/main">
            <a:ext uri="{FF2B5EF4-FFF2-40B4-BE49-F238E27FC236}">
              <a16:creationId xmlns:a16="http://schemas.microsoft.com/office/drawing/2014/main" xmlns="" id="{78ABA835-DBA5-FA40-997A-5F5087290B34}"/>
            </a:ext>
          </a:extLst>
        </cdr:cNvPr>
        <cdr:cNvSpPr/>
      </cdr:nvSpPr>
      <cdr:spPr>
        <a:xfrm xmlns:a="http://schemas.openxmlformats.org/drawingml/2006/main" rot="20220230">
          <a:off x="1812882" y="3411414"/>
          <a:ext cx="2679649" cy="447732"/>
        </a:xfrm>
        <a:prstGeom xmlns:a="http://schemas.openxmlformats.org/drawingml/2006/main" prst="ellipse">
          <a:avLst/>
        </a:prstGeom>
        <a:gradFill xmlns:a="http://schemas.openxmlformats.org/drawingml/2006/main" flip="none" rotWithShape="1">
          <a:gsLst>
            <a:gs pos="0">
              <a:schemeClr val="accent6">
                <a:lumMod val="75000"/>
              </a:schemeClr>
            </a:gs>
            <a:gs pos="50000">
              <a:schemeClr val="accent6">
                <a:tint val="44500"/>
                <a:satMod val="160000"/>
              </a:schemeClr>
            </a:gs>
            <a:gs pos="100000">
              <a:schemeClr val="accent6">
                <a:lumMod val="40000"/>
                <a:lumOff val="60000"/>
              </a:schemeClr>
            </a:gs>
          </a:gsLst>
          <a:path path="circle">
            <a:fillToRect l="100000" b="100000"/>
          </a:path>
          <a:tileRect t="-100000" r="-100000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0.54569</cdr:x>
      <cdr:y>0.61098</cdr:y>
    </cdr:from>
    <cdr:to>
      <cdr:x>0.55758</cdr:x>
      <cdr:y>0.62962</cdr:y>
    </cdr:to>
    <cdr:sp macro="" textlink="">
      <cdr:nvSpPr>
        <cdr:cNvPr id="12" name="Oval 11">
          <a:extLst xmlns:a="http://schemas.openxmlformats.org/drawingml/2006/main">
            <a:ext uri="{FF2B5EF4-FFF2-40B4-BE49-F238E27FC236}">
              <a16:creationId xmlns:a16="http://schemas.microsoft.com/office/drawing/2014/main" xmlns="" id="{D752AF6F-683B-D740-A892-0BBBE4CFE188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4213720" y="2997555"/>
          <a:ext cx="91851" cy="9144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0.64535</cdr:x>
      <cdr:y>0.05462</cdr:y>
    </cdr:from>
    <cdr:to>
      <cdr:x>0.77801</cdr:x>
      <cdr:y>0.14285</cdr:y>
    </cdr:to>
    <cdr:sp macro="" textlink="">
      <cdr:nvSpPr>
        <cdr:cNvPr id="20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D1D77ABD-932E-2546-A2F4-0ADA2D256799}"/>
            </a:ext>
          </a:extLst>
        </cdr:cNvPr>
        <cdr:cNvSpPr txBox="1"/>
      </cdr:nvSpPr>
      <cdr:spPr>
        <a:xfrm xmlns:a="http://schemas.openxmlformats.org/drawingml/2006/main">
          <a:off x="5724246" y="278860"/>
          <a:ext cx="1176689" cy="45045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Panasonic 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18650-type LIB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NCR18650BF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Gr/SiOx</a:t>
          </a:r>
          <a:r>
            <a:rPr lang="de-DE" sz="1100" baseline="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 vs. NCA</a:t>
          </a:r>
          <a:endParaRPr lang="de-DE" sz="1100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 xmlns:a="http://schemas.openxmlformats.org/drawingml/2006/main">
          <a:endParaRPr lang="de-DE" sz="1100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 xmlns:a="http://schemas.openxmlformats.org/drawingml/2006/main">
          <a:endParaRPr lang="de-DE" sz="1100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0.71729</cdr:x>
      <cdr:y>0.36749</cdr:y>
    </cdr:from>
    <cdr:to>
      <cdr:x>0.72907</cdr:x>
      <cdr:y>0.38595</cdr:y>
    </cdr:to>
    <cdr:sp macro="" textlink="">
      <cdr:nvSpPr>
        <cdr:cNvPr id="28" name="Oval 27">
          <a:extLst xmlns:a="http://schemas.openxmlformats.org/drawingml/2006/main">
            <a:ext uri="{FF2B5EF4-FFF2-40B4-BE49-F238E27FC236}">
              <a16:creationId xmlns:a16="http://schemas.microsoft.com/office/drawing/2014/main" xmlns="" id="{ED78CCC5-8680-7C41-BF59-33FA60CD9858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5537559" y="1818582"/>
          <a:ext cx="90963" cy="9136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0.71878</cdr:x>
      <cdr:y>0.37329</cdr:y>
    </cdr:from>
    <cdr:to>
      <cdr:x>0.78527</cdr:x>
      <cdr:y>0.4461</cdr:y>
    </cdr:to>
    <cdr:cxnSp macro="">
      <cdr:nvCxnSpPr>
        <cdr:cNvPr id="29" name="Gerade Verbindung 28">
          <a:extLst xmlns:a="http://schemas.openxmlformats.org/drawingml/2006/main">
            <a:ext uri="{FF2B5EF4-FFF2-40B4-BE49-F238E27FC236}">
              <a16:creationId xmlns:a16="http://schemas.microsoft.com/office/drawing/2014/main" xmlns="" id="{F9FBB669-C836-7F4B-B2E2-64B339538D67}"/>
            </a:ext>
          </a:extLst>
        </cdr:cNvPr>
        <cdr:cNvCxnSpPr/>
      </cdr:nvCxnSpPr>
      <cdr:spPr>
        <a:xfrm xmlns:a="http://schemas.openxmlformats.org/drawingml/2006/main">
          <a:off x="5544038" y="1836616"/>
          <a:ext cx="512885" cy="35820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0.7854</cdr:x>
      <cdr:y>0.43125</cdr:y>
    </cdr:from>
    <cdr:to>
      <cdr:x>0.86137</cdr:x>
      <cdr:y>0.51948</cdr:y>
    </cdr:to>
    <cdr:sp macro="" textlink="">
      <cdr:nvSpPr>
        <cdr:cNvPr id="30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F6D68DB7-9C38-3F41-886C-87A30086FDF8}"/>
            </a:ext>
          </a:extLst>
        </cdr:cNvPr>
        <cdr:cNvSpPr txBox="1"/>
      </cdr:nvSpPr>
      <cdr:spPr>
        <a:xfrm xmlns:a="http://schemas.openxmlformats.org/drawingml/2006/main">
          <a:off x="6057873" y="2121771"/>
          <a:ext cx="585957" cy="43409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LIB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C/LFP</a:t>
          </a:r>
        </a:p>
      </cdr:txBody>
    </cdr:sp>
  </cdr:relSizeAnchor>
  <cdr:relSizeAnchor xmlns:cdr="http://schemas.openxmlformats.org/drawingml/2006/chartDrawing">
    <cdr:from>
      <cdr:x>0.51088</cdr:x>
      <cdr:y>0.62098</cdr:y>
    </cdr:from>
    <cdr:to>
      <cdr:x>0.52266</cdr:x>
      <cdr:y>0.63944</cdr:y>
    </cdr:to>
    <cdr:sp macro="" textlink="">
      <cdr:nvSpPr>
        <cdr:cNvPr id="31" name="Oval 30">
          <a:extLst xmlns:a="http://schemas.openxmlformats.org/drawingml/2006/main">
            <a:ext uri="{FF2B5EF4-FFF2-40B4-BE49-F238E27FC236}">
              <a16:creationId xmlns:a16="http://schemas.microsoft.com/office/drawing/2014/main" xmlns="" id="{60F60602-0D48-844F-AAB3-3A3897E7B065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3944908" y="3046578"/>
          <a:ext cx="90983" cy="90576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0.45668</cdr:x>
      <cdr:y>0.65528</cdr:y>
    </cdr:from>
    <cdr:to>
      <cdr:x>0.45668</cdr:x>
      <cdr:y>0.74568</cdr:y>
    </cdr:to>
    <cdr:cxnSp macro="">
      <cdr:nvCxnSpPr>
        <cdr:cNvPr id="32" name="Gerade Verbindung 31">
          <a:extLst xmlns:a="http://schemas.openxmlformats.org/drawingml/2006/main">
            <a:ext uri="{FF2B5EF4-FFF2-40B4-BE49-F238E27FC236}">
              <a16:creationId xmlns:a16="http://schemas.microsoft.com/office/drawing/2014/main" xmlns="" id="{E83DB727-D35A-A346-AE93-9542584B2614}"/>
            </a:ext>
          </a:extLst>
        </cdr:cNvPr>
        <cdr:cNvCxnSpPr/>
      </cdr:nvCxnSpPr>
      <cdr:spPr>
        <a:xfrm xmlns:a="http://schemas.openxmlformats.org/drawingml/2006/main">
          <a:off x="3528609" y="3283613"/>
          <a:ext cx="0" cy="45297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0.45115</cdr:x>
      <cdr:y>0.7511</cdr:y>
    </cdr:from>
    <cdr:to>
      <cdr:x>0.54156</cdr:x>
      <cdr:y>0.83933</cdr:y>
    </cdr:to>
    <cdr:sp macro="" textlink="">
      <cdr:nvSpPr>
        <cdr:cNvPr id="33" name="Textfeld 3">
          <a:extLst xmlns:a="http://schemas.openxmlformats.org/drawingml/2006/main">
            <a:ext uri="{FF2B5EF4-FFF2-40B4-BE49-F238E27FC236}">
              <a16:creationId xmlns:a16="http://schemas.microsoft.com/office/drawing/2014/main" xmlns="" id="{39632B07-C6A4-554A-864B-C0FEBE1FAAB5}"/>
            </a:ext>
          </a:extLst>
        </cdr:cNvPr>
        <cdr:cNvSpPr txBox="1"/>
      </cdr:nvSpPr>
      <cdr:spPr>
        <a:xfrm xmlns:a="http://schemas.openxmlformats.org/drawingml/2006/main">
          <a:off x="4001650" y="3834718"/>
          <a:ext cx="801933" cy="45045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DGB </a:t>
          </a:r>
        </a:p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C/C KPF6</a:t>
          </a:r>
        </a:p>
      </cdr:txBody>
    </cdr:sp>
  </cdr:relSizeAnchor>
  <cdr:relSizeAnchor xmlns:cdr="http://schemas.openxmlformats.org/drawingml/2006/chartDrawing">
    <cdr:from>
      <cdr:x>0.45072</cdr:x>
      <cdr:y>0.64279</cdr:y>
    </cdr:from>
    <cdr:to>
      <cdr:x>0.4625</cdr:x>
      <cdr:y>0.66125</cdr:y>
    </cdr:to>
    <cdr:sp macro="" textlink="">
      <cdr:nvSpPr>
        <cdr:cNvPr id="34" name="Oval 33">
          <a:extLst xmlns:a="http://schemas.openxmlformats.org/drawingml/2006/main">
            <a:ext uri="{FF2B5EF4-FFF2-40B4-BE49-F238E27FC236}">
              <a16:creationId xmlns:a16="http://schemas.microsoft.com/office/drawing/2014/main" xmlns="" id="{60F60602-0D48-844F-AAB3-3A3897E7B065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3479413" y="3187101"/>
          <a:ext cx="90958" cy="9153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0.51966</cdr:x>
      <cdr:y>0.63682</cdr:y>
    </cdr:from>
    <cdr:to>
      <cdr:x>0.56654</cdr:x>
      <cdr:y>0.72688</cdr:y>
    </cdr:to>
    <cdr:cxnSp macro="">
      <cdr:nvCxnSpPr>
        <cdr:cNvPr id="35" name="Gerade Verbindung 34">
          <a:extLst xmlns:a="http://schemas.openxmlformats.org/drawingml/2006/main">
            <a:ext uri="{FF2B5EF4-FFF2-40B4-BE49-F238E27FC236}">
              <a16:creationId xmlns:a16="http://schemas.microsoft.com/office/drawing/2014/main" xmlns="" id="{E83DB727-D35A-A346-AE93-9542584B2614}"/>
            </a:ext>
          </a:extLst>
        </cdr:cNvPr>
        <cdr:cNvCxnSpPr/>
      </cdr:nvCxnSpPr>
      <cdr:spPr>
        <a:xfrm xmlns:a="http://schemas.openxmlformats.org/drawingml/2006/main">
          <a:off x="4012764" y="3124289"/>
          <a:ext cx="361970" cy="4418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0.57049</cdr:x>
      <cdr:y>0.70816</cdr:y>
    </cdr:from>
    <cdr:to>
      <cdr:x>0.70315</cdr:x>
      <cdr:y>0.79639</cdr:y>
    </cdr:to>
    <cdr:sp macro="" textlink="">
      <cdr:nvSpPr>
        <cdr:cNvPr id="36" name="Textfeld 3">
          <a:extLst xmlns:a="http://schemas.openxmlformats.org/drawingml/2006/main">
            <a:ext uri="{FF2B5EF4-FFF2-40B4-BE49-F238E27FC236}">
              <a16:creationId xmlns:a16="http://schemas.microsoft.com/office/drawing/2014/main" xmlns="" id="{39632B07-C6A4-554A-864B-C0FEBE1FAAB5}"/>
            </a:ext>
          </a:extLst>
        </cdr:cNvPr>
        <cdr:cNvSpPr txBox="1"/>
      </cdr:nvSpPr>
      <cdr:spPr>
        <a:xfrm xmlns:a="http://schemas.openxmlformats.org/drawingml/2006/main">
          <a:off x="4405200" y="3474302"/>
          <a:ext cx="1024442" cy="4328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DGB </a:t>
          </a:r>
        </a:p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C/C</a:t>
          </a:r>
          <a:r>
            <a:rPr lang="de-DE" sz="1100" baseline="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 LiPF6</a:t>
          </a:r>
          <a:endParaRPr lang="de-DE" sz="1100">
            <a:solidFill>
              <a:schemeClr val="accent6"/>
            </a:solidFill>
            <a:latin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0.26008</cdr:x>
      <cdr:y>0.57317</cdr:y>
    </cdr:from>
    <cdr:to>
      <cdr:x>0.50068</cdr:x>
      <cdr:y>0.66265</cdr:y>
    </cdr:to>
    <cdr:sp macro="" textlink="">
      <cdr:nvSpPr>
        <cdr:cNvPr id="41" name="Oval 40">
          <a:extLst xmlns:a="http://schemas.openxmlformats.org/drawingml/2006/main">
            <a:ext uri="{FF2B5EF4-FFF2-40B4-BE49-F238E27FC236}">
              <a16:creationId xmlns:a16="http://schemas.microsoft.com/office/drawing/2014/main" xmlns="" id="{6A81B334-0249-2042-A501-3CA8FFFA0378}"/>
            </a:ext>
          </a:extLst>
        </cdr:cNvPr>
        <cdr:cNvSpPr/>
      </cdr:nvSpPr>
      <cdr:spPr>
        <a:xfrm xmlns:a="http://schemas.openxmlformats.org/drawingml/2006/main" rot="20074298">
          <a:off x="2304653" y="2954272"/>
          <a:ext cx="2131966" cy="461240"/>
        </a:xfrm>
        <a:prstGeom xmlns:a="http://schemas.openxmlformats.org/drawingml/2006/main" prst="ellipse">
          <a:avLst/>
        </a:prstGeom>
        <a:gradFill xmlns:a="http://schemas.openxmlformats.org/drawingml/2006/main" flip="none" rotWithShape="1">
          <a:gsLst>
            <a:gs pos="0">
              <a:schemeClr val="bg1">
                <a:lumMod val="85000"/>
              </a:schemeClr>
            </a:gs>
            <a:gs pos="100000">
              <a:schemeClr val="bg1">
                <a:lumMod val="50000"/>
              </a:schemeClr>
            </a:gs>
          </a:gsLst>
          <a:path path="circle">
            <a:fillToRect l="100000" b="100000"/>
          </a:path>
          <a:tileRect t="-100000" r="-100000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0.55599</cdr:x>
      <cdr:y>0.61937</cdr:y>
    </cdr:from>
    <cdr:to>
      <cdr:x>0.61574</cdr:x>
      <cdr:y>0.62104</cdr:y>
    </cdr:to>
    <cdr:cxnSp macro="">
      <cdr:nvCxnSpPr>
        <cdr:cNvPr id="38" name="Gerade Verbindung 37">
          <a:extLst xmlns:a="http://schemas.openxmlformats.org/drawingml/2006/main">
            <a:ext uri="{FF2B5EF4-FFF2-40B4-BE49-F238E27FC236}">
              <a16:creationId xmlns:a16="http://schemas.microsoft.com/office/drawing/2014/main" xmlns="" id="{E83DB727-D35A-A346-AE93-9542584B2614}"/>
            </a:ext>
          </a:extLst>
        </cdr:cNvPr>
        <cdr:cNvCxnSpPr/>
      </cdr:nvCxnSpPr>
      <cdr:spPr>
        <a:xfrm xmlns:a="http://schemas.openxmlformats.org/drawingml/2006/main">
          <a:off x="4929468" y="3078958"/>
          <a:ext cx="529746" cy="830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0.35288</cdr:x>
      <cdr:y>0.3152</cdr:y>
    </cdr:from>
    <cdr:to>
      <cdr:x>0.99072</cdr:x>
      <cdr:y>0.44417</cdr:y>
    </cdr:to>
    <cdr:sp macro="" textlink="">
      <cdr:nvSpPr>
        <cdr:cNvPr id="18" name="Oval 17"/>
        <cdr:cNvSpPr/>
      </cdr:nvSpPr>
      <cdr:spPr>
        <a:xfrm xmlns:a="http://schemas.openxmlformats.org/drawingml/2006/main" rot="19777157">
          <a:off x="3130008" y="1609260"/>
          <a:ext cx="5657619" cy="658405"/>
        </a:xfrm>
        <a:prstGeom xmlns:a="http://schemas.openxmlformats.org/drawingml/2006/main" prst="ellipse">
          <a:avLst/>
        </a:prstGeom>
        <a:gradFill xmlns:a="http://schemas.openxmlformats.org/drawingml/2006/main"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chemeClr val="accent2">
                <a:lumMod val="75000"/>
              </a:schemeClr>
            </a:gs>
          </a:gsLst>
          <a:lin ang="81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240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0.6189</cdr:x>
      <cdr:y>0.60648</cdr:y>
    </cdr:from>
    <cdr:to>
      <cdr:x>0.67987</cdr:x>
      <cdr:y>0.69471</cdr:y>
    </cdr:to>
    <cdr:sp macro="" textlink="">
      <cdr:nvSpPr>
        <cdr:cNvPr id="39" name="Textfeld 3">
          <a:extLst xmlns:a="http://schemas.openxmlformats.org/drawingml/2006/main">
            <a:ext uri="{FF2B5EF4-FFF2-40B4-BE49-F238E27FC236}">
              <a16:creationId xmlns:a16="http://schemas.microsoft.com/office/drawing/2014/main" xmlns="" id="{39632B07-C6A4-554A-864B-C0FEBE1FAAB5}"/>
            </a:ext>
          </a:extLst>
        </cdr:cNvPr>
        <cdr:cNvSpPr txBox="1"/>
      </cdr:nvSpPr>
      <cdr:spPr>
        <a:xfrm xmlns:a="http://schemas.openxmlformats.org/drawingml/2006/main">
          <a:off x="4777156" y="2949900"/>
          <a:ext cx="470580" cy="4291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DIB</a:t>
          </a:r>
        </a:p>
        <a:p xmlns:a="http://schemas.openxmlformats.org/drawingml/2006/main">
          <a:r>
            <a:rPr lang="de-DE" sz="1100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Li/C</a:t>
          </a:r>
        </a:p>
      </cdr:txBody>
    </cdr:sp>
  </cdr:relSizeAnchor>
  <cdr:relSizeAnchor xmlns:cdr="http://schemas.openxmlformats.org/drawingml/2006/chartDrawing">
    <cdr:from>
      <cdr:x>0.40395</cdr:x>
      <cdr:y>0.6379</cdr:y>
    </cdr:from>
    <cdr:to>
      <cdr:x>0.41595</cdr:x>
      <cdr:y>0.6567</cdr:y>
    </cdr:to>
    <cdr:sp macro="" textlink="">
      <cdr:nvSpPr>
        <cdr:cNvPr id="40" name="Oval 39">
          <a:extLst xmlns:a="http://schemas.openxmlformats.org/drawingml/2006/main">
            <a:ext uri="{FF2B5EF4-FFF2-40B4-BE49-F238E27FC236}">
              <a16:creationId xmlns:a16="http://schemas.microsoft.com/office/drawing/2014/main" xmlns="" id="{178250DF-F6C8-F94D-9D8C-7BE3C07F0ABA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 flipV="1">
          <a:off x="3118001" y="3102733"/>
          <a:ext cx="92606" cy="9144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0.20199</cdr:x>
      <cdr:y>0.5456</cdr:y>
    </cdr:from>
    <cdr:to>
      <cdr:x>0.29605</cdr:x>
      <cdr:y>0.59409</cdr:y>
    </cdr:to>
    <cdr:sp macro="" textlink="">
      <cdr:nvSpPr>
        <cdr:cNvPr id="37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0A2A561F-FAC8-104D-82AA-ADB11EFD3C7B}"/>
            </a:ext>
          </a:extLst>
        </cdr:cNvPr>
        <cdr:cNvSpPr txBox="1"/>
      </cdr:nvSpPr>
      <cdr:spPr>
        <a:xfrm xmlns:a="http://schemas.openxmlformats.org/drawingml/2006/main">
          <a:off x="1789847" y="2812185"/>
          <a:ext cx="833481" cy="2499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solidFill>
                <a:schemeClr val="accent3">
                  <a:lumMod val="75000"/>
                </a:schemeClr>
              </a:solidFill>
              <a:latin typeface="Calibri" panose="020F0502020204030204" pitchFamily="34" charset="0"/>
              <a:ea typeface="Arial" charset="0"/>
              <a:cs typeface="Calibri" panose="020F0502020204030204" pitchFamily="34" charset="0"/>
            </a:rPr>
            <a:t>Ni-MH</a:t>
          </a:r>
          <a:r>
            <a:rPr lang="de-DE" sz="1200" baseline="0">
              <a:solidFill>
                <a:schemeClr val="accent3">
                  <a:lumMod val="75000"/>
                </a:schemeClr>
              </a:solidFill>
              <a:latin typeface="Calibri" panose="020F0502020204030204" pitchFamily="34" charset="0"/>
              <a:ea typeface="Arial" charset="0"/>
              <a:cs typeface="Calibri" panose="020F0502020204030204" pitchFamily="34" charset="0"/>
            </a:rPr>
            <a:t> Batteries</a:t>
          </a:r>
          <a:endParaRPr lang="de-DE" sz="1200">
            <a:solidFill>
              <a:schemeClr val="accent3">
                <a:lumMod val="75000"/>
              </a:schemeClr>
            </a:solidFill>
            <a:latin typeface="Calibri" panose="020F0502020204030204" pitchFamily="34" charset="0"/>
            <a:ea typeface="Arial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0.40891</cdr:x>
      <cdr:y>0.44263</cdr:y>
    </cdr:from>
    <cdr:to>
      <cdr:x>0.40962</cdr:x>
      <cdr:y>0.63911</cdr:y>
    </cdr:to>
    <cdr:cxnSp macro="">
      <cdr:nvCxnSpPr>
        <cdr:cNvPr id="4" name="Gerade Verbindung 3">
          <a:extLst xmlns:a="http://schemas.openxmlformats.org/drawingml/2006/main">
            <a:ext uri="{FF2B5EF4-FFF2-40B4-BE49-F238E27FC236}">
              <a16:creationId xmlns:a16="http://schemas.microsoft.com/office/drawing/2014/main" xmlns="" id="{F63DCAD3-BD7D-F34D-A7B3-8D8A3E47A6FA}"/>
            </a:ext>
          </a:extLst>
        </cdr:cNvPr>
        <cdr:cNvCxnSpPr/>
      </cdr:nvCxnSpPr>
      <cdr:spPr>
        <a:xfrm xmlns:a="http://schemas.openxmlformats.org/drawingml/2006/main">
          <a:off x="3625392" y="2200389"/>
          <a:ext cx="6295" cy="97672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0.34198</cdr:x>
      <cdr:y>0.28332</cdr:y>
    </cdr:from>
    <cdr:to>
      <cdr:x>0.47914</cdr:x>
      <cdr:y>0.44116</cdr:y>
    </cdr:to>
    <cdr:sp macro="" textlink="">
      <cdr:nvSpPr>
        <cdr:cNvPr id="5" name="Textfeld 4">
          <a:extLst xmlns:a="http://schemas.openxmlformats.org/drawingml/2006/main">
            <a:ext uri="{FF2B5EF4-FFF2-40B4-BE49-F238E27FC236}">
              <a16:creationId xmlns:a16="http://schemas.microsoft.com/office/drawing/2014/main" xmlns="" id="{45ACD70D-193B-0F4B-9A10-E20CE3BE7EC1}"/>
            </a:ext>
          </a:extLst>
        </cdr:cNvPr>
        <cdr:cNvSpPr txBox="1"/>
      </cdr:nvSpPr>
      <cdr:spPr>
        <a:xfrm xmlns:a="http://schemas.openxmlformats.org/drawingml/2006/main">
          <a:off x="3033375" y="1446464"/>
          <a:ext cx="1216604" cy="8058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A123 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18650-type LIB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APR18650M1A</a:t>
          </a:r>
        </a:p>
        <a:p xmlns:a="http://schemas.openxmlformats.org/drawingml/2006/main"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Graphite</a:t>
          </a:r>
          <a:r>
            <a:rPr lang="de-DE" sz="1100" baseline="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 vs. </a:t>
          </a:r>
          <a:r>
            <a:rPr lang="de-DE" sz="110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LFP</a:t>
          </a:r>
        </a:p>
      </cdr:txBody>
    </cdr:sp>
  </cdr:relSizeAnchor>
  <cdr:relSizeAnchor xmlns:cdr="http://schemas.openxmlformats.org/drawingml/2006/chartDrawing">
    <cdr:from>
      <cdr:x>0.31228</cdr:x>
      <cdr:y>0.8381</cdr:y>
    </cdr:from>
    <cdr:to>
      <cdr:x>0.50092</cdr:x>
      <cdr:y>0.88659</cdr:y>
    </cdr:to>
    <cdr:sp macro="" textlink="">
      <cdr:nvSpPr>
        <cdr:cNvPr id="24" name="Textfeld 1">
          <a:extLst xmlns:a="http://schemas.openxmlformats.org/drawingml/2006/main">
            <a:ext uri="{FF2B5EF4-FFF2-40B4-BE49-F238E27FC236}">
              <a16:creationId xmlns:a16="http://schemas.microsoft.com/office/drawing/2014/main" xmlns="" id="{40F6E8EB-018D-9441-9724-5095DB5DE647}"/>
            </a:ext>
          </a:extLst>
        </cdr:cNvPr>
        <cdr:cNvSpPr txBox="1"/>
      </cdr:nvSpPr>
      <cdr:spPr>
        <a:xfrm xmlns:a="http://schemas.openxmlformats.org/drawingml/2006/main">
          <a:off x="2769933" y="4278902"/>
          <a:ext cx="1673229" cy="2475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solidFill>
                <a:schemeClr val="accent6"/>
              </a:solidFill>
              <a:latin typeface="Calibri" panose="020F0502020204030204" pitchFamily="34" charset="0"/>
              <a:ea typeface="Arial" charset="0"/>
              <a:cs typeface="Calibri" panose="020F0502020204030204" pitchFamily="34" charset="0"/>
            </a:rPr>
            <a:t>Dual Ion Batteries</a:t>
          </a:r>
        </a:p>
      </cdr:txBody>
    </cdr:sp>
  </cdr:relSizeAnchor>
  <cdr:relSizeAnchor xmlns:cdr="http://schemas.openxmlformats.org/drawingml/2006/chartDrawing">
    <cdr:from>
      <cdr:x>0.7247</cdr:x>
      <cdr:y>0.37574</cdr:y>
    </cdr:from>
    <cdr:to>
      <cdr:x>0.73659</cdr:x>
      <cdr:y>0.39438</cdr:y>
    </cdr:to>
    <cdr:sp macro="" textlink="">
      <cdr:nvSpPr>
        <cdr:cNvPr id="42" name="Oval 11">
          <a:extLst xmlns:a="http://schemas.openxmlformats.org/drawingml/2006/main">
            <a:ext uri="{FF2B5EF4-FFF2-40B4-BE49-F238E27FC236}">
              <a16:creationId xmlns:lc="http://schemas.openxmlformats.org/drawingml/2006/lockedCanvas" xmlns="" xmlns:a16="http://schemas.microsoft.com/office/drawing/2014/main" id="{D752AF6F-683B-D740-A892-0BBBE4CFE188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6425222" y="1867875"/>
          <a:ext cx="105418" cy="9266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0.94056</cdr:x>
      <cdr:y>0.08286</cdr:y>
    </cdr:from>
    <cdr:to>
      <cdr:x>0.95235</cdr:x>
      <cdr:y>0.10132</cdr:y>
    </cdr:to>
    <cdr:sp macro="" textlink="">
      <cdr:nvSpPr>
        <cdr:cNvPr id="23" name="Oval 22">
          <a:extLst xmlns:a="http://schemas.openxmlformats.org/drawingml/2006/main">
            <a:ext uri="{FF2B5EF4-FFF2-40B4-BE49-F238E27FC236}">
              <a16:creationId xmlns:a16="http://schemas.microsoft.com/office/drawing/2014/main" xmlns="" id="{A9B1F0F0-C838-B64E-A91C-4DD452009B36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 rot="19521173" flipH="1">
          <a:off x="7261124" y="410405"/>
          <a:ext cx="90961" cy="9144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0.78707</cdr:x>
      <cdr:y>0.09305</cdr:y>
    </cdr:from>
    <cdr:to>
      <cdr:x>0.9408</cdr:x>
      <cdr:y>0.09316</cdr:y>
    </cdr:to>
    <cdr:cxnSp macro="">
      <cdr:nvCxnSpPr>
        <cdr:cNvPr id="22" name="Gerade Verbindung 21">
          <a:extLst xmlns:a="http://schemas.openxmlformats.org/drawingml/2006/main">
            <a:ext uri="{FF2B5EF4-FFF2-40B4-BE49-F238E27FC236}">
              <a16:creationId xmlns:a16="http://schemas.microsoft.com/office/drawing/2014/main" xmlns="" id="{47E85028-E20F-8648-8648-CB1BBA119205}"/>
            </a:ext>
          </a:extLst>
        </cdr:cNvPr>
        <cdr:cNvCxnSpPr/>
      </cdr:nvCxnSpPr>
      <cdr:spPr>
        <a:xfrm xmlns:a="http://schemas.openxmlformats.org/drawingml/2006/main">
          <a:off x="6978178" y="462585"/>
          <a:ext cx="1362971" cy="51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1091589</xdr:colOff>
      <xdr:row>10</xdr:row>
      <xdr:rowOff>176152</xdr:rowOff>
    </xdr:from>
    <xdr:to>
      <xdr:col>8</xdr:col>
      <xdr:colOff>137237</xdr:colOff>
      <xdr:row>24</xdr:row>
      <xdr:rowOff>51248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186373</xdr:rowOff>
    </xdr:from>
    <xdr:to>
      <xdr:col>3</xdr:col>
      <xdr:colOff>422543</xdr:colOff>
      <xdr:row>23</xdr:row>
      <xdr:rowOff>61470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tabSelected="1" zoomScale="93" zoomScaleNormal="93" workbookViewId="0">
      <selection activeCell="F2" sqref="F2"/>
    </sheetView>
  </sheetViews>
  <sheetFormatPr baseColWidth="10" defaultColWidth="10.875" defaultRowHeight="15.75" x14ac:dyDescent="0.25"/>
  <cols>
    <col min="1" max="1" width="39.875" style="4" customWidth="1"/>
    <col min="2" max="2" width="27.5" style="4" customWidth="1"/>
    <col min="3" max="3" width="17.125" style="4" bestFit="1" customWidth="1"/>
    <col min="4" max="4" width="16.875" style="4" customWidth="1"/>
    <col min="5" max="5" width="16.125" style="4" customWidth="1"/>
    <col min="6" max="6" width="17.125" style="2" customWidth="1"/>
    <col min="7" max="8" width="16.125" style="2" customWidth="1"/>
    <col min="9" max="9" width="22.875" style="2" bestFit="1" customWidth="1"/>
    <col min="10" max="10" width="31" style="2" customWidth="1"/>
    <col min="11" max="14" width="16.125" style="2" customWidth="1"/>
    <col min="15" max="18" width="13.125" style="4" customWidth="1"/>
    <col min="19" max="19" width="33.625" style="4" bestFit="1" customWidth="1"/>
    <col min="20" max="20" width="17.375" style="4" customWidth="1"/>
    <col min="21" max="21" width="17.125" style="4" customWidth="1"/>
    <col min="22" max="22" width="23.875" style="4" customWidth="1"/>
    <col min="23" max="23" width="22.125" style="4" bestFit="1" customWidth="1"/>
    <col min="24" max="24" width="33.625" style="4" bestFit="1" customWidth="1"/>
    <col min="25" max="25" width="13.875" style="4" customWidth="1"/>
    <col min="26" max="26" width="21" style="4" customWidth="1"/>
    <col min="27" max="16384" width="10.875" style="4"/>
  </cols>
  <sheetData>
    <row r="1" spans="1:27" s="6" customFormat="1" x14ac:dyDescent="0.25">
      <c r="A1" s="6" t="s">
        <v>152</v>
      </c>
      <c r="D1" s="8"/>
      <c r="E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7" s="6" customFormat="1" x14ac:dyDescent="0.25">
      <c r="A2" s="4" t="s">
        <v>177</v>
      </c>
      <c r="D2" s="8"/>
      <c r="E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7" x14ac:dyDescent="0.25">
      <c r="A3" s="6" t="s">
        <v>64</v>
      </c>
      <c r="F3" s="4"/>
      <c r="M3" s="12"/>
      <c r="N3" s="12"/>
      <c r="O3" s="2"/>
      <c r="P3" s="2"/>
      <c r="Q3" s="2"/>
      <c r="R3" s="2"/>
      <c r="S3" s="2"/>
      <c r="T3" s="2"/>
    </row>
    <row r="4" spans="1:27" s="6" customFormat="1" ht="63" x14ac:dyDescent="0.25">
      <c r="A4" s="77" t="s">
        <v>65</v>
      </c>
      <c r="B4" s="78" t="s">
        <v>66</v>
      </c>
      <c r="C4" s="78" t="s">
        <v>0</v>
      </c>
      <c r="D4" s="79" t="s">
        <v>21</v>
      </c>
      <c r="E4" s="79" t="s">
        <v>103</v>
      </c>
      <c r="F4" s="79" t="s">
        <v>142</v>
      </c>
      <c r="G4" s="79" t="s">
        <v>104</v>
      </c>
      <c r="H4" s="79" t="s">
        <v>105</v>
      </c>
      <c r="I4" s="79" t="s">
        <v>13</v>
      </c>
      <c r="J4" s="79" t="s">
        <v>106</v>
      </c>
      <c r="K4" s="79" t="s">
        <v>107</v>
      </c>
      <c r="L4" s="79" t="s">
        <v>146</v>
      </c>
      <c r="M4" s="79" t="s">
        <v>108</v>
      </c>
      <c r="N4" s="79" t="s">
        <v>24</v>
      </c>
      <c r="O4" s="79" t="s">
        <v>36</v>
      </c>
      <c r="P4" s="79" t="s">
        <v>28</v>
      </c>
      <c r="Q4" s="80" t="s">
        <v>29</v>
      </c>
      <c r="R4" s="38"/>
      <c r="S4" s="103" t="s">
        <v>67</v>
      </c>
      <c r="T4" s="104" t="s">
        <v>69</v>
      </c>
      <c r="U4" s="101" t="s">
        <v>68</v>
      </c>
      <c r="V4" s="42"/>
      <c r="AA4" s="10"/>
    </row>
    <row r="5" spans="1:27" s="2" customFormat="1" x14ac:dyDescent="0.25">
      <c r="A5" s="81" t="s">
        <v>95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64"/>
      <c r="R5" s="39"/>
      <c r="S5" s="63" t="s">
        <v>5</v>
      </c>
      <c r="T5" s="67">
        <f>1-T6-T7</f>
        <v>0.89999999999999991</v>
      </c>
      <c r="U5" s="105">
        <f>1-U6-U7</f>
        <v>0.89999999999999991</v>
      </c>
    </row>
    <row r="6" spans="1:27" s="2" customFormat="1" ht="18.75" x14ac:dyDescent="0.35">
      <c r="A6" s="63" t="s">
        <v>53</v>
      </c>
      <c r="B6" s="17" t="s">
        <v>100</v>
      </c>
      <c r="C6" s="17" t="s">
        <v>37</v>
      </c>
      <c r="D6" s="17">
        <v>160</v>
      </c>
      <c r="E6" s="82">
        <f>D6*G6</f>
        <v>584</v>
      </c>
      <c r="F6" s="16">
        <v>3.4</v>
      </c>
      <c r="G6" s="83">
        <v>3.65</v>
      </c>
      <c r="H6" s="16">
        <f>1/(T$5/G6+T$6/E$17+T$7/E$23)</f>
        <v>3.3718244803695154</v>
      </c>
      <c r="I6" s="67">
        <v>0.3</v>
      </c>
      <c r="J6" s="29">
        <f>K6*D6</f>
        <v>339.87990762124707</v>
      </c>
      <c r="K6" s="16">
        <f>T$5*H6*(1-I6)</f>
        <v>2.1242494226327944</v>
      </c>
      <c r="L6" s="16">
        <f>(1-I6)*H6+I6*E$20</f>
        <v>2.7202771362586606</v>
      </c>
      <c r="M6" s="82">
        <f t="shared" ref="M6" si="0">K6*D6</f>
        <v>339.87990762124707</v>
      </c>
      <c r="N6" s="82">
        <f t="shared" ref="N6" si="1">M6*F6</f>
        <v>1155.5916859122401</v>
      </c>
      <c r="O6" s="82">
        <f t="shared" ref="O6" si="2">D6*F6</f>
        <v>544</v>
      </c>
      <c r="P6" s="17">
        <v>18</v>
      </c>
      <c r="Q6" s="84">
        <f>P6/1000*K6</f>
        <v>3.8236489607390296E-2</v>
      </c>
      <c r="R6" s="39"/>
      <c r="S6" s="63" t="s">
        <v>6</v>
      </c>
      <c r="T6" s="67">
        <v>0.05</v>
      </c>
      <c r="U6" s="106">
        <v>0.05</v>
      </c>
      <c r="V6" s="12"/>
    </row>
    <row r="7" spans="1:27" s="2" customFormat="1" ht="18.75" x14ac:dyDescent="0.35">
      <c r="A7" s="63" t="s">
        <v>151</v>
      </c>
      <c r="B7" s="17" t="s">
        <v>101</v>
      </c>
      <c r="C7" s="17" t="s">
        <v>102</v>
      </c>
      <c r="D7" s="17">
        <v>140</v>
      </c>
      <c r="E7" s="82">
        <f>D7*G7</f>
        <v>308</v>
      </c>
      <c r="F7" s="16">
        <v>4.5999999999999996</v>
      </c>
      <c r="G7" s="16">
        <v>2.2000000000000002</v>
      </c>
      <c r="H7" s="16">
        <f>1/(U$5/G7+U$6/E$17+U$7/E$23)</f>
        <v>2.1782178217821788</v>
      </c>
      <c r="I7" s="67">
        <v>0.41</v>
      </c>
      <c r="J7" s="29">
        <f>K7*D7</f>
        <v>161.92871287128719</v>
      </c>
      <c r="K7" s="16">
        <f>H7*(1-I7)*U$5</f>
        <v>1.156633663366337</v>
      </c>
      <c r="L7" s="16">
        <f>(1-I7)*H7+I7*E$24</f>
        <v>1.8591485148514857</v>
      </c>
      <c r="M7" s="82">
        <f>K7*D7</f>
        <v>161.92871287128719</v>
      </c>
      <c r="N7" s="82"/>
      <c r="O7" s="82"/>
      <c r="P7" s="85">
        <v>5</v>
      </c>
      <c r="Q7" s="84">
        <f>P7/1000*K7</f>
        <v>5.783168316831685E-3</v>
      </c>
      <c r="R7" s="39"/>
      <c r="S7" s="71" t="s">
        <v>7</v>
      </c>
      <c r="T7" s="73">
        <v>0.05</v>
      </c>
      <c r="U7" s="107">
        <v>0.05</v>
      </c>
      <c r="V7" s="12"/>
    </row>
    <row r="8" spans="1:27" s="2" customFormat="1" ht="18.75" x14ac:dyDescent="0.35">
      <c r="A8" s="63" t="s">
        <v>150</v>
      </c>
      <c r="B8" s="17" t="s">
        <v>109</v>
      </c>
      <c r="C8" s="17" t="s">
        <v>51</v>
      </c>
      <c r="D8" s="17">
        <v>140</v>
      </c>
      <c r="E8" s="82">
        <f>D8*G8</f>
        <v>308</v>
      </c>
      <c r="F8" s="16">
        <v>4.5999999999999996</v>
      </c>
      <c r="G8" s="16">
        <v>2.2000000000000002</v>
      </c>
      <c r="H8" s="16">
        <f>1/(U$5/G8+U$6/E$17+U$7/E$23)</f>
        <v>2.1782178217821788</v>
      </c>
      <c r="I8" s="67">
        <v>0.41</v>
      </c>
      <c r="J8" s="29">
        <f t="shared" ref="J8" si="3">K8*D8</f>
        <v>161.92871287128719</v>
      </c>
      <c r="K8" s="16">
        <f>H8*(1-I8)*U$5</f>
        <v>1.156633663366337</v>
      </c>
      <c r="L8" s="16">
        <f>(1-I8)*H8+I8*E$24</f>
        <v>1.8591485148514857</v>
      </c>
      <c r="M8" s="82">
        <f>K8*D8</f>
        <v>161.92871287128719</v>
      </c>
      <c r="N8" s="82"/>
      <c r="O8" s="82"/>
      <c r="P8" s="85">
        <v>5</v>
      </c>
      <c r="Q8" s="84">
        <f>P8/1000*K8</f>
        <v>5.783168316831685E-3</v>
      </c>
      <c r="R8" s="39"/>
      <c r="S8" s="39"/>
      <c r="T8" s="40"/>
      <c r="U8" s="39"/>
      <c r="V8" s="12"/>
      <c r="Z8" s="36"/>
    </row>
    <row r="9" spans="1:27" s="2" customFormat="1" x14ac:dyDescent="0.25">
      <c r="A9" s="81" t="s">
        <v>96</v>
      </c>
      <c r="B9" s="17"/>
      <c r="C9" s="17"/>
      <c r="D9" s="17"/>
      <c r="E9" s="82"/>
      <c r="F9" s="83"/>
      <c r="G9" s="83"/>
      <c r="H9" s="16"/>
      <c r="I9" s="67"/>
      <c r="J9" s="29"/>
      <c r="K9" s="16"/>
      <c r="L9" s="16"/>
      <c r="M9" s="82"/>
      <c r="N9" s="82"/>
      <c r="O9" s="82"/>
      <c r="P9" s="82"/>
      <c r="Q9" s="84"/>
      <c r="R9" s="39"/>
      <c r="S9" s="39"/>
      <c r="T9" s="40"/>
      <c r="U9" s="39"/>
      <c r="V9" s="12"/>
    </row>
    <row r="10" spans="1:27" s="2" customFormat="1" ht="18.75" x14ac:dyDescent="0.35">
      <c r="A10" s="86" t="s">
        <v>47</v>
      </c>
      <c r="B10" s="87" t="s">
        <v>99</v>
      </c>
      <c r="C10" s="87" t="s">
        <v>50</v>
      </c>
      <c r="D10" s="87">
        <v>360</v>
      </c>
      <c r="E10" s="88">
        <f>D10*G10</f>
        <v>792.00000000000011</v>
      </c>
      <c r="F10" s="89">
        <v>0.1</v>
      </c>
      <c r="G10" s="89">
        <v>2.2000000000000002</v>
      </c>
      <c r="H10" s="89">
        <f>1/(U$5/G10+U$6/E$17+U$7/E$23)</f>
        <v>2.1782178217821788</v>
      </c>
      <c r="I10" s="90">
        <v>0.3</v>
      </c>
      <c r="J10" s="91">
        <f>K10*D10</f>
        <v>494.01980198019805</v>
      </c>
      <c r="K10" s="89">
        <f>H10*(1-I10)*U$5</f>
        <v>1.3722772277227724</v>
      </c>
      <c r="L10" s="89">
        <f>(1-I10)*H10+I10*E$20</f>
        <v>1.8847524752475251</v>
      </c>
      <c r="M10" s="88">
        <f>K10*D10</f>
        <v>494.01980198019805</v>
      </c>
      <c r="N10" s="88">
        <f>M10*(4.5-F10)</f>
        <v>2173.6871287128715</v>
      </c>
      <c r="O10" s="88">
        <f>D10*(4.5-F10)</f>
        <v>1584.0000000000002</v>
      </c>
      <c r="P10" s="87">
        <v>13</v>
      </c>
      <c r="Q10" s="92">
        <f>P10/1000*K10</f>
        <v>1.7839603960396039E-2</v>
      </c>
      <c r="R10" s="39"/>
      <c r="S10" s="8" t="s">
        <v>23</v>
      </c>
      <c r="U10" s="39"/>
      <c r="V10" s="12"/>
    </row>
    <row r="11" spans="1:27" s="2" customFormat="1" x14ac:dyDescent="0.25">
      <c r="A11" s="63" t="s">
        <v>1</v>
      </c>
      <c r="B11" s="17" t="s">
        <v>20</v>
      </c>
      <c r="C11" s="17" t="s">
        <v>2</v>
      </c>
      <c r="D11" s="17">
        <v>3884</v>
      </c>
      <c r="E11" s="82">
        <f>D11*G11</f>
        <v>2074.056</v>
      </c>
      <c r="F11" s="17">
        <v>0</v>
      </c>
      <c r="G11" s="16">
        <v>0.53400000000000003</v>
      </c>
      <c r="H11" s="16">
        <v>0.53400000000000003</v>
      </c>
      <c r="I11" s="67">
        <v>0</v>
      </c>
      <c r="J11" s="29">
        <f>K11*D11</f>
        <v>2074.056</v>
      </c>
      <c r="K11" s="16">
        <v>0.53400000000000003</v>
      </c>
      <c r="L11" s="16">
        <f>(1-I11)*H11+I11*E$20</f>
        <v>0.53400000000000003</v>
      </c>
      <c r="M11" s="82">
        <f>K11*D11</f>
        <v>2074.056</v>
      </c>
      <c r="N11" s="82">
        <f>M11*(3.7-F11)</f>
        <v>7674.0072000000009</v>
      </c>
      <c r="O11" s="82">
        <f>D11*(3.7-F11)</f>
        <v>14370.800000000001</v>
      </c>
      <c r="P11" s="82">
        <v>250</v>
      </c>
      <c r="Q11" s="84">
        <f>P11/1000*K11</f>
        <v>0.13350000000000001</v>
      </c>
      <c r="R11" s="39"/>
      <c r="S11" s="2">
        <v>1</v>
      </c>
      <c r="T11" s="2" t="s">
        <v>33</v>
      </c>
      <c r="U11" s="39"/>
      <c r="V11" s="12"/>
    </row>
    <row r="12" spans="1:27" s="2" customFormat="1" ht="18.75" x14ac:dyDescent="0.35">
      <c r="A12" s="63" t="s">
        <v>149</v>
      </c>
      <c r="B12" s="17" t="s">
        <v>98</v>
      </c>
      <c r="C12" s="17" t="s">
        <v>48</v>
      </c>
      <c r="D12" s="17">
        <v>360</v>
      </c>
      <c r="E12" s="93">
        <v>792</v>
      </c>
      <c r="F12" s="16">
        <v>0.1</v>
      </c>
      <c r="G12" s="94">
        <v>2.2000000000000002</v>
      </c>
      <c r="H12" s="16">
        <f>1/(U$5/G12+U$6/E$17+U$7/E$23)</f>
        <v>2.1782178217821788</v>
      </c>
      <c r="I12" s="67">
        <v>0.3</v>
      </c>
      <c r="J12" s="29">
        <f>K12*D12</f>
        <v>494.01980198019805</v>
      </c>
      <c r="K12" s="16">
        <f>H12*(1-I12)*U$5</f>
        <v>1.3722772277227724</v>
      </c>
      <c r="L12" s="16">
        <f>(1-I12)*H12+I12*E$24</f>
        <v>1.9447524752475249</v>
      </c>
      <c r="M12" s="82">
        <f>K12*D12</f>
        <v>494.01980198019805</v>
      </c>
      <c r="N12" s="82"/>
      <c r="O12" s="82"/>
      <c r="P12" s="95">
        <v>5</v>
      </c>
      <c r="Q12" s="84">
        <f>P12/1000*K12</f>
        <v>6.8613861386138623E-3</v>
      </c>
      <c r="R12" s="39"/>
      <c r="S12" s="2">
        <v>2</v>
      </c>
      <c r="T12" s="2" t="s">
        <v>34</v>
      </c>
      <c r="U12" s="39"/>
      <c r="V12" s="12"/>
    </row>
    <row r="13" spans="1:27" s="2" customFormat="1" ht="18.75" x14ac:dyDescent="0.35">
      <c r="A13" s="71" t="s">
        <v>148</v>
      </c>
      <c r="B13" s="74" t="s">
        <v>147</v>
      </c>
      <c r="C13" s="74" t="s">
        <v>49</v>
      </c>
      <c r="D13" s="74">
        <v>273</v>
      </c>
      <c r="E13" s="96">
        <f>D13*G13</f>
        <v>600.6</v>
      </c>
      <c r="F13" s="97">
        <v>0.3</v>
      </c>
      <c r="G13" s="97">
        <v>2.2000000000000002</v>
      </c>
      <c r="H13" s="97">
        <f>1/(U$5/G13+U$6/E$17+U$7/E$23)</f>
        <v>2.1782178217821788</v>
      </c>
      <c r="I13" s="73">
        <v>0.3</v>
      </c>
      <c r="J13" s="98">
        <f>K13*D13</f>
        <v>374.63168316831684</v>
      </c>
      <c r="K13" s="97">
        <f>H13*(1-I13)*U$5</f>
        <v>1.3722772277227724</v>
      </c>
      <c r="L13" s="97">
        <f>(1-I13)*H13+I13*E$20</f>
        <v>1.8847524752475251</v>
      </c>
      <c r="M13" s="96">
        <f>K13*D13</f>
        <v>374.63168316831684</v>
      </c>
      <c r="N13" s="96">
        <f>M13*(4.5-F13)</f>
        <v>1573.4530693069307</v>
      </c>
      <c r="O13" s="96">
        <f>D13*(4.5-F13)</f>
        <v>1146.6000000000001</v>
      </c>
      <c r="P13" s="99">
        <v>5</v>
      </c>
      <c r="Q13" s="100">
        <f t="shared" ref="Q13" si="4">P13/1000*K13</f>
        <v>6.8613861386138623E-3</v>
      </c>
      <c r="R13" s="41"/>
      <c r="S13" s="2">
        <v>3</v>
      </c>
      <c r="T13" s="2" t="s">
        <v>35</v>
      </c>
      <c r="U13" s="41"/>
      <c r="V13" s="37"/>
    </row>
    <row r="14" spans="1:27" s="2" customFormat="1" x14ac:dyDescent="0.25">
      <c r="R14" s="39"/>
      <c r="S14" s="39"/>
      <c r="T14" s="40"/>
      <c r="U14" s="39"/>
      <c r="V14" s="12"/>
      <c r="W14" s="1"/>
    </row>
    <row r="15" spans="1:27" s="2" customFormat="1" x14ac:dyDescent="0.25">
      <c r="Z15" s="18"/>
    </row>
    <row r="16" spans="1:27" s="2" customFormat="1" x14ac:dyDescent="0.25">
      <c r="A16" s="59" t="s">
        <v>3</v>
      </c>
      <c r="B16" s="60" t="s">
        <v>10</v>
      </c>
      <c r="C16" s="60" t="s">
        <v>110</v>
      </c>
      <c r="D16" s="60" t="s">
        <v>157</v>
      </c>
      <c r="E16" s="61" t="s">
        <v>111</v>
      </c>
      <c r="F16" s="61" t="s">
        <v>27</v>
      </c>
      <c r="G16" s="61" t="s">
        <v>97</v>
      </c>
      <c r="H16" s="62" t="s">
        <v>97</v>
      </c>
      <c r="I16" s="50" t="s">
        <v>70</v>
      </c>
      <c r="Y16" s="18"/>
    </row>
    <row r="17" spans="1:27" s="2" customFormat="1" x14ac:dyDescent="0.25">
      <c r="A17" s="63" t="s">
        <v>4</v>
      </c>
      <c r="B17" s="17"/>
      <c r="C17" s="17"/>
      <c r="D17" s="17"/>
      <c r="E17" s="17">
        <v>1.8</v>
      </c>
      <c r="F17" s="17">
        <v>10</v>
      </c>
      <c r="G17" s="17"/>
      <c r="H17" s="64"/>
      <c r="U17" s="4"/>
      <c r="Y17" s="18"/>
    </row>
    <row r="18" spans="1:27" s="2" customFormat="1" x14ac:dyDescent="0.25">
      <c r="A18" s="63" t="s">
        <v>12</v>
      </c>
      <c r="B18" s="39">
        <v>5.9999999999999995E-4</v>
      </c>
      <c r="C18" s="17">
        <f>B18*E18</f>
        <v>1.6199999999999999E-3</v>
      </c>
      <c r="D18" s="17"/>
      <c r="E18" s="17">
        <v>2.7</v>
      </c>
      <c r="F18" s="17">
        <v>6</v>
      </c>
      <c r="G18" s="17"/>
      <c r="H18" s="65">
        <f>F18/1000*C18</f>
        <v>9.7200000000000001E-6</v>
      </c>
      <c r="U18" s="4"/>
      <c r="Y18" s="3"/>
    </row>
    <row r="19" spans="1:27" x14ac:dyDescent="0.25">
      <c r="A19" s="63" t="s">
        <v>11</v>
      </c>
      <c r="B19" s="39">
        <v>4.0000000000000002E-4</v>
      </c>
      <c r="C19" s="17">
        <f>E19*B19</f>
        <v>3.5840000000000004E-3</v>
      </c>
      <c r="D19" s="17"/>
      <c r="E19" s="17">
        <v>8.9600000000000009</v>
      </c>
      <c r="F19" s="17">
        <v>13</v>
      </c>
      <c r="G19" s="17"/>
      <c r="H19" s="65">
        <f>C19/1000*F19</f>
        <v>4.6592000000000004E-5</v>
      </c>
      <c r="O19" s="2"/>
      <c r="P19" s="2"/>
      <c r="Q19" s="2"/>
      <c r="R19" s="2"/>
      <c r="S19" s="2"/>
      <c r="T19" s="2"/>
      <c r="W19" s="2"/>
      <c r="X19" s="2"/>
      <c r="Y19" s="3"/>
      <c r="Z19" s="2"/>
    </row>
    <row r="20" spans="1:27" x14ac:dyDescent="0.25">
      <c r="A20" s="63" t="s">
        <v>22</v>
      </c>
      <c r="B20" s="39"/>
      <c r="C20" s="17"/>
      <c r="D20" s="17"/>
      <c r="E20" s="17">
        <v>1.2</v>
      </c>
      <c r="F20" s="17">
        <v>12</v>
      </c>
      <c r="G20" s="66">
        <f>F20/1000*1.2</f>
        <v>1.44E-2</v>
      </c>
      <c r="H20" s="65">
        <f>H22-H21</f>
        <v>1.1232000000000004E-5</v>
      </c>
      <c r="O20" s="2"/>
      <c r="P20" s="2"/>
      <c r="Q20" s="2"/>
      <c r="R20" s="2"/>
      <c r="S20" s="2"/>
      <c r="T20" s="2"/>
      <c r="W20" s="2"/>
      <c r="X20" s="2"/>
      <c r="Y20" s="3"/>
    </row>
    <row r="21" spans="1:27" x14ac:dyDescent="0.25">
      <c r="A21" s="63" t="s">
        <v>9</v>
      </c>
      <c r="B21" s="39">
        <v>2E-3</v>
      </c>
      <c r="C21" s="17">
        <f>B21*E21*D21</f>
        <v>7.4100000000000001E-4</v>
      </c>
      <c r="D21" s="67">
        <v>0.39</v>
      </c>
      <c r="E21" s="17">
        <v>0.95</v>
      </c>
      <c r="F21" s="17" t="s">
        <v>114</v>
      </c>
      <c r="G21" s="68">
        <v>0.05</v>
      </c>
      <c r="H21" s="65">
        <f>G21*0.002</f>
        <v>1E-4</v>
      </c>
      <c r="O21" s="2"/>
      <c r="P21" s="2"/>
      <c r="Q21" s="2"/>
      <c r="R21" s="2"/>
      <c r="S21" s="2"/>
      <c r="T21" s="2"/>
      <c r="W21" s="2"/>
      <c r="X21" s="2"/>
      <c r="Y21" s="3"/>
    </row>
    <row r="22" spans="1:27" x14ac:dyDescent="0.25">
      <c r="A22" s="63" t="s">
        <v>45</v>
      </c>
      <c r="B22" s="39">
        <v>2E-3</v>
      </c>
      <c r="C22" s="17">
        <f>E22*B22</f>
        <v>2.0949999999999996E-3</v>
      </c>
      <c r="D22" s="17"/>
      <c r="E22" s="17">
        <f>(1-D21)*E21+D21*E20</f>
        <v>1.0474999999999999</v>
      </c>
      <c r="F22" s="17"/>
      <c r="G22" s="66">
        <f>G21+0.39*G20</f>
        <v>5.5616000000000006E-2</v>
      </c>
      <c r="H22" s="65">
        <f>G22*0.002</f>
        <v>1.1123200000000001E-4</v>
      </c>
      <c r="O22" s="2"/>
      <c r="P22" s="2"/>
      <c r="Q22" s="2"/>
      <c r="R22" s="2"/>
      <c r="S22" s="2"/>
      <c r="T22" s="2"/>
      <c r="U22" s="2"/>
      <c r="Y22" s="2"/>
      <c r="Z22" s="2"/>
      <c r="AA22" s="3"/>
    </row>
    <row r="23" spans="1:27" x14ac:dyDescent="0.25">
      <c r="A23" s="63" t="s">
        <v>8</v>
      </c>
      <c r="B23" s="39"/>
      <c r="C23" s="17"/>
      <c r="D23" s="17"/>
      <c r="E23" s="17">
        <v>2.25</v>
      </c>
      <c r="F23" s="17">
        <v>6.8</v>
      </c>
      <c r="G23" s="17"/>
      <c r="H23" s="65"/>
      <c r="O23" s="2"/>
      <c r="P23" s="2"/>
      <c r="Q23" s="2"/>
      <c r="R23" s="2"/>
      <c r="S23" s="2"/>
      <c r="T23" s="2"/>
      <c r="U23" s="2"/>
      <c r="X23" s="2"/>
      <c r="Z23" s="2"/>
      <c r="AA23" s="3"/>
    </row>
    <row r="24" spans="1:27" ht="18.75" x14ac:dyDescent="0.35">
      <c r="A24" s="63" t="s">
        <v>112</v>
      </c>
      <c r="B24" s="39"/>
      <c r="C24" s="17"/>
      <c r="D24" s="67"/>
      <c r="E24" s="69">
        <v>1.4</v>
      </c>
      <c r="F24" s="70">
        <v>19</v>
      </c>
      <c r="G24" s="66"/>
      <c r="H24" s="65"/>
      <c r="N24" s="4"/>
      <c r="U24" s="2"/>
      <c r="AA24" s="3"/>
    </row>
    <row r="25" spans="1:27" ht="18.75" x14ac:dyDescent="0.35">
      <c r="A25" s="63" t="s">
        <v>113</v>
      </c>
      <c r="B25" s="39"/>
      <c r="C25" s="17"/>
      <c r="D25" s="67"/>
      <c r="E25" s="69">
        <v>1.4</v>
      </c>
      <c r="F25" s="70">
        <v>4.7</v>
      </c>
      <c r="G25" s="66"/>
      <c r="H25" s="64"/>
      <c r="N25" s="4"/>
      <c r="U25" s="2"/>
      <c r="V25" s="2"/>
    </row>
    <row r="26" spans="1:27" x14ac:dyDescent="0.25">
      <c r="A26" s="63" t="s">
        <v>46</v>
      </c>
      <c r="B26" s="39">
        <v>6.0000000000000001E-3</v>
      </c>
      <c r="C26" s="17">
        <f>E26*B26</f>
        <v>7.8599999999999989E-3</v>
      </c>
      <c r="D26" s="17"/>
      <c r="E26" s="17">
        <f>(1-D28)*E28+E24*D28</f>
        <v>1.3099999999999998</v>
      </c>
      <c r="F26" s="17"/>
      <c r="G26" s="66"/>
      <c r="H26" s="65"/>
      <c r="N26" s="4"/>
      <c r="U26" s="2"/>
      <c r="X26" s="5"/>
      <c r="Z26" s="3"/>
    </row>
    <row r="27" spans="1:27" x14ac:dyDescent="0.25">
      <c r="A27" s="63" t="s">
        <v>52</v>
      </c>
      <c r="B27" s="39">
        <v>6.0000000000000001E-3</v>
      </c>
      <c r="C27" s="17">
        <f>E27*B27</f>
        <v>7.8599999999999989E-3</v>
      </c>
      <c r="D27" s="17"/>
      <c r="E27" s="17">
        <f>(1-D28)*E28+E25*D28</f>
        <v>1.3099999999999998</v>
      </c>
      <c r="F27" s="17"/>
      <c r="G27" s="66"/>
      <c r="H27" s="64"/>
      <c r="N27" s="4"/>
      <c r="U27" s="2"/>
      <c r="V27" s="2"/>
    </row>
    <row r="28" spans="1:27" x14ac:dyDescent="0.25">
      <c r="A28" s="71" t="s">
        <v>156</v>
      </c>
      <c r="B28" s="72">
        <v>6.0000000000000001E-3</v>
      </c>
      <c r="C28" s="72">
        <f>B28*E28*D28</f>
        <v>4.5600000000000007E-3</v>
      </c>
      <c r="D28" s="73">
        <v>0.8</v>
      </c>
      <c r="E28" s="74">
        <v>0.95</v>
      </c>
      <c r="F28" s="74" t="s">
        <v>32</v>
      </c>
      <c r="G28" s="75">
        <v>5.0000000000000001E-3</v>
      </c>
      <c r="H28" s="76">
        <f>G28*0.002</f>
        <v>1.0000000000000001E-5</v>
      </c>
      <c r="N28" s="4"/>
      <c r="U28" s="2"/>
      <c r="V28" s="2"/>
      <c r="W28" s="5"/>
      <c r="Y28" s="3"/>
    </row>
    <row r="30" spans="1:27" x14ac:dyDescent="0.25">
      <c r="A30" s="2"/>
      <c r="B30" s="2"/>
      <c r="C30" s="2"/>
      <c r="D30" s="23"/>
      <c r="E30" s="12"/>
      <c r="G30"/>
      <c r="N30" s="4"/>
      <c r="U30" s="2"/>
      <c r="V30" s="2"/>
    </row>
    <row r="31" spans="1:27" x14ac:dyDescent="0.25">
      <c r="A31" s="24"/>
      <c r="B31" s="2"/>
      <c r="C31" s="2"/>
      <c r="D31" s="23"/>
      <c r="E31" s="12"/>
      <c r="G31" s="21"/>
      <c r="N31" s="4"/>
      <c r="U31" s="2"/>
      <c r="V31" s="2"/>
    </row>
    <row r="32" spans="1:27" x14ac:dyDescent="0.25">
      <c r="A32" s="24"/>
      <c r="B32" s="2"/>
      <c r="C32" s="2"/>
      <c r="D32" s="23"/>
      <c r="E32" s="12"/>
      <c r="G32" s="21"/>
      <c r="N32" s="4"/>
      <c r="U32" s="2"/>
      <c r="V32" s="2"/>
    </row>
    <row r="33" spans="1:27" x14ac:dyDescent="0.25">
      <c r="A33" s="24"/>
      <c r="B33" s="2"/>
      <c r="C33" s="2"/>
      <c r="D33" s="23"/>
      <c r="E33" s="12"/>
      <c r="G33" s="21"/>
      <c r="N33" s="4"/>
      <c r="U33" s="2"/>
      <c r="V33" s="2"/>
    </row>
    <row r="34" spans="1:27" s="2" customFormat="1" ht="16.5" thickBot="1" x14ac:dyDescent="0.3">
      <c r="A34" s="19"/>
      <c r="B34" s="19"/>
      <c r="C34" s="19"/>
      <c r="D34" s="19"/>
      <c r="E34" s="19"/>
      <c r="Q34" s="139" t="s">
        <v>79</v>
      </c>
      <c r="R34" s="139"/>
      <c r="S34" s="139"/>
      <c r="T34" s="139"/>
      <c r="U34" s="139"/>
      <c r="V34" s="139"/>
    </row>
    <row r="35" spans="1:27" s="2" customFormat="1" ht="63" x14ac:dyDescent="0.25">
      <c r="A35" s="47" t="s">
        <v>71</v>
      </c>
      <c r="B35" s="48" t="s">
        <v>14</v>
      </c>
      <c r="C35" s="48" t="s">
        <v>15</v>
      </c>
      <c r="D35" s="48" t="s">
        <v>115</v>
      </c>
      <c r="E35" s="48" t="s">
        <v>116</v>
      </c>
      <c r="F35" s="48" t="s">
        <v>16</v>
      </c>
      <c r="G35" s="48" t="s">
        <v>117</v>
      </c>
      <c r="H35" s="48" t="s">
        <v>118</v>
      </c>
      <c r="I35" s="48" t="s">
        <v>76</v>
      </c>
      <c r="J35" s="48" t="s">
        <v>77</v>
      </c>
      <c r="K35" s="48" t="s">
        <v>119</v>
      </c>
      <c r="L35" s="48" t="s">
        <v>145</v>
      </c>
      <c r="M35" s="48" t="s">
        <v>17</v>
      </c>
      <c r="N35" s="48" t="s">
        <v>120</v>
      </c>
      <c r="O35" s="53" t="s">
        <v>18</v>
      </c>
      <c r="P35" s="54" t="s">
        <v>19</v>
      </c>
      <c r="Q35" s="48" t="s">
        <v>31</v>
      </c>
      <c r="R35" s="48" t="s">
        <v>30</v>
      </c>
      <c r="S35" s="48" t="s">
        <v>63</v>
      </c>
      <c r="T35" s="48" t="s">
        <v>62</v>
      </c>
      <c r="U35" s="48" t="s">
        <v>61</v>
      </c>
      <c r="V35" s="48" t="s">
        <v>26</v>
      </c>
      <c r="W35" s="48" t="s">
        <v>78</v>
      </c>
      <c r="X35" s="48" t="s">
        <v>121</v>
      </c>
      <c r="Y35" s="49" t="s">
        <v>143</v>
      </c>
      <c r="Z35" s="49" t="s">
        <v>144</v>
      </c>
      <c r="AA35" s="9"/>
    </row>
    <row r="36" spans="1:27" s="2" customFormat="1" x14ac:dyDescent="0.25">
      <c r="A36" s="2" t="s">
        <v>158</v>
      </c>
      <c r="B36" s="2">
        <v>3.3</v>
      </c>
      <c r="C36" s="2">
        <v>65</v>
      </c>
      <c r="D36" s="13">
        <f>C36*0.1*K6</f>
        <v>13.807621247113163</v>
      </c>
      <c r="E36" s="13">
        <f>C36*0.0001*M6</f>
        <v>2.2092193995381062</v>
      </c>
      <c r="F36" s="13">
        <f>H36/M$10*10000</f>
        <v>49.191172696946367</v>
      </c>
      <c r="G36" s="13">
        <f>0.1*F36*K$10</f>
        <v>6.7503926096997704</v>
      </c>
      <c r="H36" s="13">
        <f>E36*L36</f>
        <v>2.4301413394919171</v>
      </c>
      <c r="I36" s="11">
        <v>20</v>
      </c>
      <c r="J36" s="12">
        <v>0.39</v>
      </c>
      <c r="K36" s="15">
        <f>E22*B22</f>
        <v>2.0949999999999996E-3</v>
      </c>
      <c r="L36" s="2">
        <v>1.1000000000000001</v>
      </c>
      <c r="M36" s="14">
        <f>C36/10000+F36/10000+B$18+B$19+I$36/10000</f>
        <v>1.4419117269694637E-2</v>
      </c>
      <c r="N36" s="13">
        <f>1000*C$18+1000*C$19+1000*K36+1000*L6*C36/10000+1000*L$10*F36/10000</f>
        <v>34.252119835771111</v>
      </c>
      <c r="O36" s="55">
        <f>B36*E36/M36</f>
        <v>505.60820625256935</v>
      </c>
      <c r="P36" s="56">
        <f>B36*E36/N36*1000</f>
        <v>212.84592175407536</v>
      </c>
      <c r="Q36" s="108">
        <f>D36*P6/1000000/X36</f>
        <v>34.090909090909086</v>
      </c>
      <c r="R36" s="108">
        <f>G36*P10/1000000/X36</f>
        <v>12.03703703703704</v>
      </c>
      <c r="S36" s="109">
        <f>(0.0001*C36*I$6*E$20*F$20/1000+0.0001*F36*I$10*E$20*F$20/1000+0.0001*I36*J36*E20*F$20/1000)/X36</f>
        <v>8.3071418687857044</v>
      </c>
      <c r="T36" s="109">
        <f>H$18/X36</f>
        <v>1.3332557853105798</v>
      </c>
      <c r="U36" s="109">
        <f>H$19/X36</f>
        <v>6.390849130575158</v>
      </c>
      <c r="V36" s="109">
        <f>G$21*I36/10000/X36</f>
        <v>13.716623305664402</v>
      </c>
      <c r="W36" s="108">
        <f>Q36+R36+S36+T36+U36+V36+X36</f>
        <v>75.875823508705992</v>
      </c>
      <c r="X36" s="31">
        <f>N36*P36/1000000000</f>
        <v>7.2904240184757507E-6</v>
      </c>
      <c r="Z36" s="13">
        <f>I10*E$20*C36/10+E$20*J$36*I36/10+I6*E$20*F36/10</f>
        <v>5.0468822170900687</v>
      </c>
    </row>
    <row r="37" spans="1:27" s="2" customFormat="1" ht="18.75" x14ac:dyDescent="0.35">
      <c r="A37" s="2" t="s">
        <v>153</v>
      </c>
      <c r="B37" s="12">
        <v>4.5</v>
      </c>
      <c r="C37" s="2">
        <v>65</v>
      </c>
      <c r="D37" s="13">
        <f>C37*0.1*K7</f>
        <v>7.5181188118811901</v>
      </c>
      <c r="E37" s="13">
        <f>C37*0.0001*M7</f>
        <v>1.0525366336633668</v>
      </c>
      <c r="F37" s="13">
        <f>H37/M$11*10000</f>
        <v>1.0149548842108089</v>
      </c>
      <c r="G37" s="13">
        <f>0.1*F37*K$11</f>
        <v>5.4198590816857205E-2</v>
      </c>
      <c r="H37" s="13">
        <f>E37*L37</f>
        <v>0.21050732673267336</v>
      </c>
      <c r="I37" s="11">
        <v>89</v>
      </c>
      <c r="J37" s="12">
        <v>0.8</v>
      </c>
      <c r="K37" s="15">
        <f>(J37*E$24+(1-J37)*E$28)*I37/10000</f>
        <v>1.1658999999999999E-2</v>
      </c>
      <c r="L37" s="13">
        <f>0.2</f>
        <v>0.2</v>
      </c>
      <c r="M37" s="14">
        <f>C37/10000+F37/10000+B$18+B$19+I$37/10000</f>
        <v>1.6501495488421079E-2</v>
      </c>
      <c r="N37" s="13">
        <f>1000*C$18+1000*C$19+K37*1000+1000*L7*C37/10000+1000*L$11*F37/10000</f>
        <v>29.001663937351513</v>
      </c>
      <c r="O37" s="55">
        <f>B37*E37/M37</f>
        <v>287.02943044214641</v>
      </c>
      <c r="P37" s="56">
        <f>B37*E37/N37*1000</f>
        <v>163.31527948591523</v>
      </c>
      <c r="Q37" s="108">
        <f>D37*P8/1000000/X37</f>
        <v>7.9365079365079341</v>
      </c>
      <c r="R37" s="108">
        <f>G37*P11/1000000/X37</f>
        <v>2.8607392150131594</v>
      </c>
      <c r="S37" s="109">
        <f>(0.0001*C37*I$7*E$24*F$24/1000+0.0001*F37*I$11*E$24*F$24/1000+0.0001*I37*J37*E24*F$24/1000)/X37</f>
        <v>54.95316777802649</v>
      </c>
      <c r="T37" s="109">
        <f>H$18/X37</f>
        <v>2.0521851030325595</v>
      </c>
      <c r="U37" s="109">
        <f>H$19/X37</f>
        <v>9.8369761646597755</v>
      </c>
      <c r="V37" s="109">
        <f>G$28*I37/10000/X37</f>
        <v>9.3952918811675801</v>
      </c>
      <c r="W37" s="108">
        <f>Q37+R37+S37+T37+U37+V37+X37</f>
        <v>87.03487281482235</v>
      </c>
      <c r="X37" s="31">
        <f>N37*P37/1000000000</f>
        <v>4.7364148514851515E-6</v>
      </c>
      <c r="Y37" s="13">
        <f>D37*E$24*1.30208333333333</f>
        <v>13.704904084158382</v>
      </c>
      <c r="Z37" s="13">
        <f>I7*E$24*C37/10+I37*E$24*J$37/10+I11*E$24*F37/10</f>
        <v>13.699</v>
      </c>
    </row>
    <row r="38" spans="1:27" s="2" customFormat="1" ht="18.75" x14ac:dyDescent="0.35">
      <c r="A38" s="2" t="s">
        <v>154</v>
      </c>
      <c r="B38" s="12">
        <v>4.5</v>
      </c>
      <c r="C38" s="2">
        <v>65</v>
      </c>
      <c r="D38" s="13">
        <f>C38*0.1*K7</f>
        <v>7.5181188118811901</v>
      </c>
      <c r="E38" s="13">
        <f>C38*0.0001*M7</f>
        <v>1.0525366336633668</v>
      </c>
      <c r="F38" s="13">
        <f>H38/M$12*10000</f>
        <v>21.305555555555564</v>
      </c>
      <c r="G38" s="13">
        <f>0.1*F38*K$12</f>
        <v>2.9237128712871301</v>
      </c>
      <c r="H38" s="13">
        <f>E38*L38</f>
        <v>1.0525366336633668</v>
      </c>
      <c r="I38" s="43">
        <v>81</v>
      </c>
      <c r="J38" s="12">
        <v>0.8</v>
      </c>
      <c r="K38" s="15">
        <f>(J38*E$24+(1-J38)*E$28)*I38/10000</f>
        <v>1.0610999999999999E-2</v>
      </c>
      <c r="L38" s="2">
        <v>1</v>
      </c>
      <c r="M38" s="14">
        <f>C38/10000+F38/10000+B$19+B$18+I$38/10000</f>
        <v>1.7730555555555555E-2</v>
      </c>
      <c r="N38" s="13">
        <f>1000*C$18+1000*C$18+K38*1000+1000*L7*C38/10000+1000*L$12*F38/10000</f>
        <v>30.07886853685369</v>
      </c>
      <c r="O38" s="55">
        <f>B38*E38/M38</f>
        <v>267.13290718073858</v>
      </c>
      <c r="P38" s="56">
        <f>B38*E38/N38*1000</f>
        <v>157.46652323979302</v>
      </c>
      <c r="Q38" s="108">
        <f>D38*P7/1000000/X38</f>
        <v>7.9365079365079358</v>
      </c>
      <c r="R38" s="108">
        <f>G38*P12/1000000/X38</f>
        <v>3.0864197530864197</v>
      </c>
      <c r="S38" s="109">
        <f>(0.0001*C38*I$7*E$24*F$24/1000+0.0001*F38*I$12*E$24*F$24/1000+0.0001*I38*J38*E24*F$24/1000)/X38</f>
        <v>54.948487726265469</v>
      </c>
      <c r="T38" s="109">
        <f>H$18/X38</f>
        <v>2.05218510303256</v>
      </c>
      <c r="U38" s="109">
        <f>H$19/X38</f>
        <v>9.8369761646597773</v>
      </c>
      <c r="V38" s="109">
        <f>G$28*I38/10000/X38</f>
        <v>8.5507712626356653</v>
      </c>
      <c r="W38" s="108">
        <f>Q38+R38+S38+T38+U38+V38+X38</f>
        <v>86.411352682602669</v>
      </c>
      <c r="X38" s="31">
        <f>N38*P38/1000000000</f>
        <v>4.7364148514851507E-6</v>
      </c>
      <c r="Y38" s="13">
        <f>D38*E$24*1.30089</f>
        <v>13.692343813663369</v>
      </c>
      <c r="Z38" s="13">
        <f>I12*E$24*F38/10+E$24*J$38*I38/10+I7*E$24*C38/10</f>
        <v>13.697833333333334</v>
      </c>
    </row>
    <row r="39" spans="1:27" s="2" customFormat="1" ht="19.5" thickBot="1" x14ac:dyDescent="0.4">
      <c r="A39" s="2" t="s">
        <v>155</v>
      </c>
      <c r="B39" s="12">
        <v>4.3499999999999996</v>
      </c>
      <c r="C39" s="2">
        <v>65</v>
      </c>
      <c r="D39" s="13">
        <f>C39*0.1*K8</f>
        <v>7.5181188118811901</v>
      </c>
      <c r="E39" s="13">
        <f>C39*0.0001*M8</f>
        <v>1.0525366336633668</v>
      </c>
      <c r="F39" s="13">
        <f>H39/M$13*10000</f>
        <v>28.095238095238109</v>
      </c>
      <c r="G39" s="13">
        <f>0.1*F39*K$13</f>
        <v>3.855445544554458</v>
      </c>
      <c r="H39" s="13">
        <f>E39*L39</f>
        <v>1.0525366336633668</v>
      </c>
      <c r="I39" s="11">
        <v>78.5</v>
      </c>
      <c r="J39" s="12">
        <v>0.8</v>
      </c>
      <c r="K39" s="15">
        <f>(J39*E$24+(1-J39)*E$28)*I39/10000</f>
        <v>1.0283499999999999E-2</v>
      </c>
      <c r="L39" s="2">
        <v>1</v>
      </c>
      <c r="M39" s="14">
        <f>C39/10000+F39/10000+B$18+B$18+I$39/10000</f>
        <v>1.8359523809523812E-2</v>
      </c>
      <c r="N39" s="13">
        <f>1000*C$18+1000*C$18+K39*1000+1000*L8*C39/10000+1000*L$13*F39/10000</f>
        <v>30.903222300801517</v>
      </c>
      <c r="O39" s="57">
        <f>B39*E39/M39</f>
        <v>249.38197765568287</v>
      </c>
      <c r="P39" s="58">
        <f>B39*E39/N39*1000</f>
        <v>148.15718282934188</v>
      </c>
      <c r="Q39" s="108">
        <f>D39*P7/1000000/X39</f>
        <v>8.2101806239737272</v>
      </c>
      <c r="R39" s="108">
        <f>G39*P13/1000000/X39</f>
        <v>4.210349037935246</v>
      </c>
      <c r="S39" s="109">
        <f>(0.0001*C39*I$8*E$25*F$25/1000+0.0001*F39*I$13*E$25*F$25/1000+0.0001*I39*J39*E25*F$25/1000)/X39</f>
        <v>14.066531991721936</v>
      </c>
      <c r="T39" s="109">
        <f>H$18/X39</f>
        <v>2.1229501065854071</v>
      </c>
      <c r="U39" s="109">
        <f>H$18/X39</f>
        <v>2.1229501065854071</v>
      </c>
      <c r="V39" s="109">
        <f>G$28*I39/10000/X39</f>
        <v>8.5726123131149397</v>
      </c>
      <c r="W39" s="108">
        <f>Q39+R39+S39+T39+U39+V39+X39</f>
        <v>39.30557875845102</v>
      </c>
      <c r="X39" s="31">
        <f>N39*P39/1000000000</f>
        <v>4.5785343564356451E-6</v>
      </c>
      <c r="Y39" s="13">
        <f>D39*E$24*1.30208333333333</f>
        <v>13.704904084158382</v>
      </c>
      <c r="Z39" s="13">
        <f>I8*E$25*C39/10+E$25*J$39*I39/10+I13*E$25*F39/10</f>
        <v>13.702999999999999</v>
      </c>
    </row>
    <row r="40" spans="1:27" s="2" customFormat="1" x14ac:dyDescent="0.25">
      <c r="B40" s="12"/>
      <c r="D40" s="13"/>
      <c r="E40" s="13"/>
      <c r="F40" s="13"/>
      <c r="G40" s="13"/>
      <c r="H40" s="13"/>
      <c r="I40" s="13"/>
      <c r="J40" s="12"/>
      <c r="K40" s="12"/>
      <c r="M40" s="14"/>
      <c r="N40" s="13"/>
      <c r="O40" s="11"/>
      <c r="P40" s="11"/>
      <c r="Q40" s="13"/>
      <c r="R40" s="13"/>
      <c r="S40" s="16"/>
      <c r="T40" s="16"/>
      <c r="U40" s="16"/>
      <c r="V40" s="16"/>
      <c r="W40" s="16"/>
      <c r="X40" s="13"/>
    </row>
    <row r="41" spans="1:27" s="2" customFormat="1" x14ac:dyDescent="0.25">
      <c r="B41" s="12"/>
      <c r="D41" s="13"/>
      <c r="E41" s="13"/>
      <c r="F41" s="13"/>
      <c r="G41" s="13"/>
      <c r="H41" s="13"/>
      <c r="I41" s="13"/>
      <c r="J41" s="13"/>
      <c r="L41" s="14"/>
      <c r="M41" s="13"/>
      <c r="N41" s="11"/>
      <c r="O41" s="11"/>
      <c r="P41" s="13"/>
      <c r="Q41" s="13"/>
      <c r="S41" s="16"/>
      <c r="T41" s="16"/>
      <c r="V41" s="16"/>
      <c r="W41" s="13"/>
    </row>
    <row r="42" spans="1:27" s="2" customFormat="1" x14ac:dyDescent="0.25">
      <c r="B42" s="12"/>
      <c r="C42" s="1"/>
      <c r="D42" s="13"/>
      <c r="E42" s="13"/>
      <c r="F42" s="13"/>
      <c r="G42" s="13"/>
      <c r="H42" s="13"/>
      <c r="I42" s="13"/>
      <c r="J42" s="13"/>
      <c r="L42" s="14"/>
      <c r="M42" s="13"/>
      <c r="N42" s="11"/>
      <c r="O42" s="11"/>
      <c r="P42" s="11"/>
      <c r="Y42" s="13"/>
      <c r="Z42" s="13"/>
      <c r="AA42" s="13"/>
    </row>
    <row r="43" spans="1:27" s="2" customFormat="1" x14ac:dyDescent="0.25">
      <c r="B43" s="12"/>
      <c r="C43" s="1"/>
      <c r="D43" s="13"/>
      <c r="E43" s="13"/>
      <c r="F43" s="13"/>
      <c r="G43" s="13"/>
      <c r="H43" s="13"/>
      <c r="I43" s="13"/>
      <c r="J43" s="13"/>
      <c r="L43" s="14"/>
      <c r="M43" s="13"/>
      <c r="N43" s="11"/>
      <c r="O43" s="11"/>
      <c r="P43" s="11"/>
      <c r="Y43" s="13"/>
      <c r="Z43" s="13"/>
      <c r="AA43" s="13"/>
    </row>
    <row r="44" spans="1:27" s="2" customFormat="1" x14ac:dyDescent="0.25">
      <c r="B44" s="12"/>
      <c r="C44" s="1"/>
      <c r="D44" s="13"/>
      <c r="E44" s="13"/>
      <c r="F44" s="13"/>
      <c r="G44" s="13"/>
      <c r="H44" s="13"/>
      <c r="I44" s="13"/>
      <c r="J44" s="13"/>
      <c r="L44" s="14"/>
      <c r="M44" s="13"/>
      <c r="N44" s="11"/>
      <c r="O44" s="11"/>
      <c r="P44" s="11"/>
      <c r="Y44" s="13"/>
      <c r="Z44" s="13"/>
      <c r="AA44" s="13"/>
    </row>
    <row r="45" spans="1:27" s="2" customFormat="1" x14ac:dyDescent="0.25">
      <c r="B45" s="12"/>
      <c r="C45" s="1"/>
      <c r="D45" s="13"/>
      <c r="E45" s="13"/>
      <c r="F45" s="13"/>
      <c r="G45" s="13"/>
      <c r="H45" s="13"/>
      <c r="I45" s="13"/>
      <c r="J45" s="13"/>
      <c r="L45" s="14"/>
      <c r="M45" s="13"/>
      <c r="N45" s="11"/>
      <c r="O45" s="11"/>
      <c r="P45" s="11"/>
      <c r="Y45" s="12"/>
    </row>
    <row r="46" spans="1:27" s="2" customFormat="1" x14ac:dyDescent="0.25">
      <c r="B46" s="12"/>
      <c r="D46" s="13"/>
      <c r="E46" s="13"/>
      <c r="F46" s="13"/>
      <c r="G46" s="13"/>
      <c r="H46" s="13"/>
      <c r="I46" s="13"/>
      <c r="K46" s="14"/>
      <c r="L46" s="13"/>
      <c r="M46" s="11"/>
      <c r="N46" s="11"/>
    </row>
    <row r="47" spans="1:27" s="2" customFormat="1" x14ac:dyDescent="0.25">
      <c r="B47" s="12"/>
      <c r="D47" s="13"/>
      <c r="E47" s="13"/>
      <c r="F47" s="13"/>
      <c r="G47" s="13"/>
      <c r="H47" s="13"/>
      <c r="I47" s="13"/>
      <c r="K47" s="14"/>
      <c r="L47" s="13"/>
      <c r="M47" s="11"/>
      <c r="N47" s="11"/>
    </row>
    <row r="48" spans="1:27" x14ac:dyDescent="0.25">
      <c r="A48" s="2"/>
      <c r="B48" s="12"/>
      <c r="C48" s="2"/>
      <c r="D48" s="13"/>
      <c r="E48" s="13"/>
      <c r="F48" s="13"/>
      <c r="G48" s="13"/>
      <c r="H48" s="13"/>
      <c r="I48" s="13"/>
      <c r="K48" s="14"/>
      <c r="L48" s="13"/>
      <c r="M48" s="11"/>
      <c r="N48" s="1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7" x14ac:dyDescent="0.25">
      <c r="A52" s="2"/>
      <c r="B52" s="2"/>
      <c r="C52" s="2"/>
      <c r="D52" s="2"/>
      <c r="E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</sheetData>
  <mergeCells count="1">
    <mergeCell ref="Q34:V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zoomScale="130" zoomScaleNormal="130" workbookViewId="0">
      <selection activeCell="G46" sqref="G46"/>
    </sheetView>
  </sheetViews>
  <sheetFormatPr baseColWidth="10" defaultRowHeight="15.75" x14ac:dyDescent="0.25"/>
  <cols>
    <col min="1" max="1" width="27.625" customWidth="1"/>
    <col min="2" max="2" width="33" bestFit="1" customWidth="1"/>
    <col min="3" max="3" width="34.625" bestFit="1" customWidth="1"/>
    <col min="4" max="4" width="26.875" bestFit="1" customWidth="1"/>
    <col min="5" max="5" width="21" bestFit="1" customWidth="1"/>
    <col min="6" max="7" width="21" customWidth="1"/>
    <col min="8" max="8" width="17.5" customWidth="1"/>
    <col min="9" max="9" width="16.875" customWidth="1"/>
    <col min="10" max="10" width="21.625" bestFit="1" customWidth="1"/>
    <col min="11" max="11" width="25.875" bestFit="1" customWidth="1"/>
    <col min="12" max="12" width="18" bestFit="1" customWidth="1"/>
    <col min="13" max="13" width="19.625" bestFit="1" customWidth="1"/>
  </cols>
  <sheetData>
    <row r="1" spans="1:13" x14ac:dyDescent="0.25">
      <c r="A1" s="140" t="s">
        <v>94</v>
      </c>
      <c r="B1" s="140"/>
      <c r="C1" s="140"/>
      <c r="D1" s="140"/>
      <c r="E1" s="140"/>
      <c r="F1" s="140"/>
      <c r="G1" s="140"/>
      <c r="H1" s="140"/>
      <c r="I1" s="140"/>
    </row>
    <row r="2" spans="1:13" ht="47.25" x14ac:dyDescent="0.25">
      <c r="A2" s="127" t="s">
        <v>74</v>
      </c>
      <c r="B2" s="111" t="s">
        <v>18</v>
      </c>
      <c r="C2" s="111" t="s">
        <v>19</v>
      </c>
      <c r="D2" s="111" t="s">
        <v>75</v>
      </c>
      <c r="E2" s="112" t="s">
        <v>87</v>
      </c>
      <c r="F2" s="112" t="s">
        <v>93</v>
      </c>
      <c r="G2" s="113" t="s">
        <v>72</v>
      </c>
      <c r="H2" s="111" t="s">
        <v>54</v>
      </c>
      <c r="I2" s="128" t="s">
        <v>55</v>
      </c>
    </row>
    <row r="3" spans="1:13" s="1" customFormat="1" x14ac:dyDescent="0.25">
      <c r="A3" s="63" t="s">
        <v>85</v>
      </c>
      <c r="B3" s="131">
        <v>506.59887950497534</v>
      </c>
      <c r="C3" s="131">
        <v>215.39217617301503</v>
      </c>
      <c r="D3" s="85">
        <v>0.82199999999999995</v>
      </c>
      <c r="E3" s="116">
        <f>(0.01455*B3)/C3*1000</f>
        <v>34.221362297192179</v>
      </c>
      <c r="F3" s="85">
        <v>6.9</v>
      </c>
      <c r="G3" s="117">
        <f>E3/(E3+F3)</f>
        <v>0.83220400262685024</v>
      </c>
      <c r="H3" s="118">
        <f>B3*D3</f>
        <v>416.4242789530897</v>
      </c>
      <c r="I3" s="129">
        <f>C3*G3</f>
        <v>179.25023114569078</v>
      </c>
    </row>
    <row r="4" spans="1:13" s="1" customFormat="1" x14ac:dyDescent="0.25">
      <c r="A4" s="63" t="s">
        <v>86</v>
      </c>
      <c r="B4" s="131">
        <v>286.71931795723117</v>
      </c>
      <c r="C4" s="131">
        <v>165.66399620343904</v>
      </c>
      <c r="D4" s="85">
        <v>0.82199999999999995</v>
      </c>
      <c r="E4" s="116">
        <f t="shared" ref="E4:E6" si="0">(0.01455*B4)/C4*1000</f>
        <v>25.182092499777035</v>
      </c>
      <c r="F4" s="85">
        <v>6.9</v>
      </c>
      <c r="G4" s="117">
        <f>E4/(E4+F4)</f>
        <v>0.78492674690567787</v>
      </c>
      <c r="H4" s="118">
        <f t="shared" ref="H4:H6" si="1">B4*D4</f>
        <v>235.68327936084401</v>
      </c>
      <c r="I4" s="129">
        <f t="shared" ref="I4:I6" si="2">C4*G4</f>
        <v>130.03410161935997</v>
      </c>
    </row>
    <row r="5" spans="1:13" s="1" customFormat="1" ht="18.75" x14ac:dyDescent="0.35">
      <c r="A5" s="63" t="s">
        <v>122</v>
      </c>
      <c r="B5" s="131">
        <v>266.79210353289278</v>
      </c>
      <c r="C5" s="131">
        <v>160.41975559178147</v>
      </c>
      <c r="D5" s="85">
        <v>0.82199999999999995</v>
      </c>
      <c r="E5" s="116">
        <f t="shared" si="0"/>
        <v>24.1979243272358</v>
      </c>
      <c r="F5" s="85">
        <v>6.9</v>
      </c>
      <c r="G5" s="117">
        <f t="shared" ref="G5:G6" si="3">E5/(E5+F5)</f>
        <v>0.77812023955705212</v>
      </c>
      <c r="H5" s="118">
        <f t="shared" si="1"/>
        <v>219.30310910403784</v>
      </c>
      <c r="I5" s="129">
        <f t="shared" si="2"/>
        <v>124.82585865076075</v>
      </c>
    </row>
    <row r="6" spans="1:13" s="1" customFormat="1" ht="18.75" x14ac:dyDescent="0.35">
      <c r="A6" s="71" t="s">
        <v>123</v>
      </c>
      <c r="B6" s="132">
        <v>249.29214937963181</v>
      </c>
      <c r="C6" s="132">
        <v>151.20690668481589</v>
      </c>
      <c r="D6" s="121">
        <v>0.82199999999999995</v>
      </c>
      <c r="E6" s="120">
        <f t="shared" si="0"/>
        <v>23.988327339004314</v>
      </c>
      <c r="F6" s="121">
        <v>6.9</v>
      </c>
      <c r="G6" s="122">
        <f t="shared" si="3"/>
        <v>0.77661464396335222</v>
      </c>
      <c r="H6" s="123">
        <f t="shared" si="1"/>
        <v>204.91814679005734</v>
      </c>
      <c r="I6" s="130">
        <f t="shared" si="2"/>
        <v>117.42949799982811</v>
      </c>
    </row>
    <row r="11" spans="1:13" ht="18.75" x14ac:dyDescent="0.35">
      <c r="A11" s="140" t="s">
        <v>125</v>
      </c>
      <c r="B11" s="140"/>
      <c r="C11" s="140"/>
      <c r="D11" s="140"/>
      <c r="E11" s="140"/>
      <c r="F11" s="140"/>
      <c r="G11" s="140"/>
      <c r="H11" s="140"/>
      <c r="I11" s="140"/>
    </row>
    <row r="12" spans="1:13" ht="48.75" x14ac:dyDescent="0.35">
      <c r="A12" s="110" t="s">
        <v>141</v>
      </c>
      <c r="B12" s="111" t="s">
        <v>18</v>
      </c>
      <c r="C12" s="111" t="s">
        <v>19</v>
      </c>
      <c r="D12" s="111" t="s">
        <v>75</v>
      </c>
      <c r="E12" s="112" t="s">
        <v>87</v>
      </c>
      <c r="F12" s="112" t="s">
        <v>93</v>
      </c>
      <c r="G12" s="113" t="s">
        <v>72</v>
      </c>
      <c r="H12" s="111" t="s">
        <v>88</v>
      </c>
      <c r="I12" s="111" t="s">
        <v>55</v>
      </c>
      <c r="J12" s="114" t="s">
        <v>89</v>
      </c>
      <c r="K12" s="114" t="s">
        <v>90</v>
      </c>
      <c r="L12" s="114" t="s">
        <v>91</v>
      </c>
      <c r="M12" s="115" t="s">
        <v>92</v>
      </c>
    </row>
    <row r="13" spans="1:13" s="1" customFormat="1" x14ac:dyDescent="0.25">
      <c r="A13" s="63" t="s">
        <v>56</v>
      </c>
      <c r="B13" s="116">
        <v>87.039518931606082</v>
      </c>
      <c r="C13" s="116">
        <v>71.974372816427021</v>
      </c>
      <c r="D13" s="85">
        <v>0.82199999999999995</v>
      </c>
      <c r="E13" s="116">
        <f>(0.01455*B13)/C13*1000</f>
        <v>17.59549893800293</v>
      </c>
      <c r="F13" s="85">
        <v>6.9</v>
      </c>
      <c r="G13" s="117">
        <f t="shared" ref="G13" si="4">E13/(E13+F13)</f>
        <v>0.71831559677704016</v>
      </c>
      <c r="H13" s="118">
        <f t="shared" ref="H13" si="5">B13*D13</f>
        <v>71.54648456178019</v>
      </c>
      <c r="I13" s="118">
        <f t="shared" ref="I13" si="6">C13*G13</f>
        <v>51.700314562284952</v>
      </c>
      <c r="J13" s="93">
        <v>451</v>
      </c>
      <c r="K13" s="83">
        <v>5.2035</v>
      </c>
      <c r="L13" s="85">
        <v>1.1000000000000001</v>
      </c>
      <c r="M13" s="119">
        <v>80</v>
      </c>
    </row>
    <row r="14" spans="1:13" s="1" customFormat="1" x14ac:dyDescent="0.25">
      <c r="A14" s="63" t="s">
        <v>57</v>
      </c>
      <c r="B14" s="116">
        <v>158.10266815796393</v>
      </c>
      <c r="C14" s="116">
        <v>113.86990524016696</v>
      </c>
      <c r="D14" s="85">
        <v>0.82199999999999995</v>
      </c>
      <c r="E14" s="116">
        <f t="shared" ref="E14:E16" si="7">(0.01455*B14)/C14*1000</f>
        <v>20.201947273483146</v>
      </c>
      <c r="F14" s="85">
        <v>6.9</v>
      </c>
      <c r="G14" s="117">
        <f>E14/(E14+F14)</f>
        <v>0.74540574777255797</v>
      </c>
      <c r="H14" s="118">
        <f t="shared" ref="H14" si="8">B14*D14</f>
        <v>129.96039322584633</v>
      </c>
      <c r="I14" s="118">
        <f t="shared" ref="I14" si="9">C14*G14</f>
        <v>84.879281864336974</v>
      </c>
      <c r="J14" s="102">
        <v>205</v>
      </c>
      <c r="K14" s="83">
        <v>2.6017800000000002</v>
      </c>
      <c r="L14" s="85">
        <v>1.2</v>
      </c>
      <c r="M14" s="119">
        <v>80</v>
      </c>
    </row>
    <row r="15" spans="1:13" s="1" customFormat="1" x14ac:dyDescent="0.25">
      <c r="A15" s="63" t="s">
        <v>58</v>
      </c>
      <c r="B15" s="116">
        <v>217.21844730961809</v>
      </c>
      <c r="C15" s="116">
        <v>141.27628164339879</v>
      </c>
      <c r="D15" s="85">
        <v>0.82199999999999995</v>
      </c>
      <c r="E15" s="116">
        <f t="shared" si="7"/>
        <v>22.371259857564496</v>
      </c>
      <c r="F15" s="85">
        <v>6.9</v>
      </c>
      <c r="G15" s="117">
        <f>E15/(E15+F15)</f>
        <v>0.76427389755084796</v>
      </c>
      <c r="H15" s="118">
        <f t="shared" ref="H15" si="10">B15*D15</f>
        <v>178.55356368850605</v>
      </c>
      <c r="I15" s="118">
        <f t="shared" ref="I15" si="11">C15*G15</f>
        <v>107.97377440309171</v>
      </c>
      <c r="J15" s="102">
        <v>123</v>
      </c>
      <c r="K15" s="83">
        <v>1.7345200000000001</v>
      </c>
      <c r="L15" s="85">
        <v>1.3</v>
      </c>
      <c r="M15" s="119">
        <v>80</v>
      </c>
    </row>
    <row r="16" spans="1:13" s="1" customFormat="1" x14ac:dyDescent="0.25">
      <c r="A16" s="71" t="s">
        <v>59</v>
      </c>
      <c r="B16" s="120">
        <v>265.18855120449382</v>
      </c>
      <c r="C16" s="120">
        <v>156.58000138795879</v>
      </c>
      <c r="D16" s="121">
        <v>0.82199999999999995</v>
      </c>
      <c r="E16" s="120">
        <f t="shared" si="7"/>
        <v>24.642313103990741</v>
      </c>
      <c r="F16" s="121">
        <v>6.9</v>
      </c>
      <c r="G16" s="122">
        <f>E16/(E16+F16)</f>
        <v>0.78124622702045865</v>
      </c>
      <c r="H16" s="123">
        <f t="shared" ref="H16" si="12">B16*D16</f>
        <v>217.9849890900939</v>
      </c>
      <c r="I16" s="123">
        <f t="shared" ref="I16" si="13">C16*G16</f>
        <v>122.32753531120098</v>
      </c>
      <c r="J16" s="124">
        <v>82.3</v>
      </c>
      <c r="K16" s="125">
        <v>1.3008900000000001</v>
      </c>
      <c r="L16" s="121">
        <v>1.4</v>
      </c>
      <c r="M16" s="126">
        <v>80</v>
      </c>
    </row>
    <row r="17" spans="7:7" x14ac:dyDescent="0.25">
      <c r="G17" s="32"/>
    </row>
    <row r="35" spans="6:7" x14ac:dyDescent="0.25">
      <c r="F35" s="8" t="s">
        <v>23</v>
      </c>
    </row>
    <row r="36" spans="6:7" x14ac:dyDescent="0.25">
      <c r="F36" s="2">
        <v>1</v>
      </c>
      <c r="G36" t="s">
        <v>159</v>
      </c>
    </row>
    <row r="37" spans="6:7" x14ac:dyDescent="0.25">
      <c r="F37" s="2"/>
    </row>
  </sheetData>
  <mergeCells count="2">
    <mergeCell ref="A11:I11"/>
    <mergeCell ref="A1:I1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A28" sqref="A28"/>
    </sheetView>
  </sheetViews>
  <sheetFormatPr baseColWidth="10" defaultRowHeight="15.75" x14ac:dyDescent="0.25"/>
  <cols>
    <col min="1" max="1" width="26" bestFit="1" customWidth="1"/>
    <col min="2" max="2" width="14.125" customWidth="1"/>
    <col min="3" max="8" width="14.5" bestFit="1" customWidth="1"/>
    <col min="9" max="9" width="12.5" bestFit="1" customWidth="1"/>
    <col min="10" max="10" width="16.125" bestFit="1" customWidth="1"/>
  </cols>
  <sheetData>
    <row r="1" spans="1:10" x14ac:dyDescent="0.25">
      <c r="A1" s="133" t="s">
        <v>73</v>
      </c>
      <c r="B1" s="133"/>
      <c r="C1" s="140" t="s">
        <v>126</v>
      </c>
      <c r="D1" s="140"/>
      <c r="E1" s="140"/>
      <c r="F1" s="140"/>
      <c r="G1" s="140"/>
      <c r="H1" s="140"/>
      <c r="I1" s="140"/>
    </row>
    <row r="2" spans="1:10" ht="33" x14ac:dyDescent="0.35">
      <c r="A2" s="33" t="s">
        <v>124</v>
      </c>
      <c r="B2" s="20" t="s">
        <v>120</v>
      </c>
      <c r="C2" s="20" t="s">
        <v>31</v>
      </c>
      <c r="D2" s="20" t="s">
        <v>30</v>
      </c>
      <c r="E2" s="20" t="s">
        <v>63</v>
      </c>
      <c r="F2" s="20" t="s">
        <v>62</v>
      </c>
      <c r="G2" s="20" t="s">
        <v>61</v>
      </c>
      <c r="H2" s="20" t="s">
        <v>26</v>
      </c>
      <c r="I2" s="20" t="s">
        <v>60</v>
      </c>
    </row>
    <row r="3" spans="1:10" x14ac:dyDescent="0.25">
      <c r="A3" t="s">
        <v>56</v>
      </c>
      <c r="B3" s="22">
        <v>64.046352725366887</v>
      </c>
      <c r="C3" s="35">
        <f>7.56146226415095/0.9*'From Stack to Cell '!G13</f>
        <v>6.0350180875340653</v>
      </c>
      <c r="D3" s="35">
        <f>2.94056865828092/0.9*'From Stack to Cell '!G13</f>
        <v>2.3469514784854657</v>
      </c>
      <c r="E3" s="35">
        <f>E8*1.1*1000*'From Stack to Cell '!G13</f>
        <v>24.076459432994831</v>
      </c>
      <c r="F3" s="35">
        <f>0.00162*1000*'From Stack to Cell '!G13</f>
        <v>1.1636712667788049</v>
      </c>
      <c r="G3" s="35">
        <f>0.003584*1000*'From Stack to Cell '!G13</f>
        <v>2.5744430988489118</v>
      </c>
      <c r="H3" s="35">
        <f>451/10000*0.2*0.95*1000*'From Stack to Cell '!G13</f>
        <v>6.155246348782458</v>
      </c>
      <c r="I3" s="7">
        <f>(1-'From Stack to Cell '!G13)*B3</f>
        <v>18.040858646052161</v>
      </c>
    </row>
    <row r="4" spans="1:10" x14ac:dyDescent="0.25">
      <c r="A4" t="s">
        <v>59</v>
      </c>
      <c r="B4" s="22">
        <v>30.2</v>
      </c>
      <c r="C4" s="35">
        <f>7.56146226415095/0.9*'From Stack to Cell '!G16</f>
        <v>6.5637376273616717</v>
      </c>
      <c r="D4" s="35">
        <f>2.94056865828092/0.9*'From Stack to Cell '!G16</f>
        <v>2.5525646328628677</v>
      </c>
      <c r="E4" s="35">
        <f>E9*1.4*1000*'From Stack to Cell '!G16</f>
        <v>8.2472103268661776</v>
      </c>
      <c r="F4" s="35">
        <f>0.00162*1000*'From Stack to Cell '!G16</f>
        <v>1.2656188877731429</v>
      </c>
      <c r="G4" s="35">
        <f>0.003584*1000*'From Stack to Cell '!G16</f>
        <v>2.7999864776413239</v>
      </c>
      <c r="H4" s="35">
        <f>82.3/10000*0.2*0.95*1000*'From Stack to Cell '!G16</f>
        <v>1.2216347251918911</v>
      </c>
      <c r="I4" s="7">
        <f>(1-'From Stack to Cell '!G16)*B4</f>
        <v>6.6063639439821484</v>
      </c>
    </row>
    <row r="5" spans="1:10" x14ac:dyDescent="0.25">
      <c r="B5" s="22"/>
    </row>
    <row r="6" spans="1:10" x14ac:dyDescent="0.25">
      <c r="A6" s="133" t="s">
        <v>73</v>
      </c>
      <c r="B6" s="133"/>
      <c r="C6" s="140" t="s">
        <v>84</v>
      </c>
      <c r="D6" s="140"/>
      <c r="E6" s="140"/>
      <c r="F6" s="140"/>
      <c r="G6" s="140"/>
      <c r="H6" s="140"/>
      <c r="I6" s="140"/>
    </row>
    <row r="7" spans="1:10" ht="33" x14ac:dyDescent="0.35">
      <c r="A7" s="33" t="s">
        <v>124</v>
      </c>
      <c r="B7" s="20" t="s">
        <v>17</v>
      </c>
      <c r="C7" s="20" t="s">
        <v>31</v>
      </c>
      <c r="D7" s="20" t="s">
        <v>30</v>
      </c>
      <c r="E7" s="20" t="s">
        <v>63</v>
      </c>
      <c r="F7" s="20" t="s">
        <v>62</v>
      </c>
      <c r="G7" s="20" t="s">
        <v>61</v>
      </c>
      <c r="H7" s="20" t="s">
        <v>26</v>
      </c>
      <c r="I7" s="20" t="s">
        <v>60</v>
      </c>
    </row>
    <row r="8" spans="1:10" s="1" customFormat="1" x14ac:dyDescent="0.25">
      <c r="A8" s="1" t="s">
        <v>56</v>
      </c>
      <c r="B8" s="34">
        <v>5.2730555555555558E-2</v>
      </c>
      <c r="C8" s="34">
        <f>65/10000*0.7*'From Stack to Cell '!D13</f>
        <v>3.7400999999999992E-3</v>
      </c>
      <c r="D8" s="34">
        <f>21.3055555555556/10000*0.7*'From Stack to Cell '!D13</f>
        <v>1.2259216666666692E-3</v>
      </c>
      <c r="E8" s="34">
        <f>(431/10000*0.8+65/10000*0.3+21.3055555555556/10000*0.3)*'From Stack to Cell '!D13</f>
        <v>3.0470855000000005E-2</v>
      </c>
      <c r="F8" s="15">
        <f>0.0006*'From Stack to Cell '!D13</f>
        <v>4.9319999999999995E-4</v>
      </c>
      <c r="G8" s="15">
        <f>0.0004*'From Stack to Cell '!D13</f>
        <v>3.2880000000000002E-4</v>
      </c>
      <c r="H8" s="34">
        <f>431/10000*0.2*'From Stack to Cell '!D13</f>
        <v>7.0856400000000007E-3</v>
      </c>
      <c r="I8" s="34">
        <f>(1-0.822)*B8</f>
        <v>9.3860388888888924E-3</v>
      </c>
      <c r="J8"/>
    </row>
    <row r="9" spans="1:10" s="1" customFormat="1" x14ac:dyDescent="0.25">
      <c r="A9" s="1" t="s">
        <v>59</v>
      </c>
      <c r="B9" s="34">
        <v>1.7860555555555553E-2</v>
      </c>
      <c r="C9" s="34">
        <f>65/10000*0.7*('From Stack to Cell '!D13)</f>
        <v>3.7400999999999992E-3</v>
      </c>
      <c r="D9" s="34">
        <f>21.3055555555556/10000*0.7*('From Stack to Cell '!D13)</f>
        <v>1.2259216666666692E-3</v>
      </c>
      <c r="E9" s="34">
        <f>(82.3/10000*0.8+65/10000*0.3+21.3055555555556/10000*0.3)*('From Stack to Cell '!D13)</f>
        <v>7.5403430000000006E-3</v>
      </c>
      <c r="F9" s="15">
        <f>0.0006*('From Stack to Cell '!D13)</f>
        <v>4.9319999999999995E-4</v>
      </c>
      <c r="G9" s="15">
        <f>0.0004*('From Stack to Cell '!D13)</f>
        <v>3.2880000000000002E-4</v>
      </c>
      <c r="H9" s="34">
        <f>82.3/10000*0.2*('From Stack to Cell '!D13)</f>
        <v>1.3530119999999998E-3</v>
      </c>
      <c r="I9" s="34">
        <f>(1-0.822)*B9</f>
        <v>3.1791788888888891E-3</v>
      </c>
      <c r="J9"/>
    </row>
    <row r="11" spans="1:10" x14ac:dyDescent="0.25">
      <c r="A11" s="1"/>
      <c r="C11" s="7"/>
      <c r="D11" s="7"/>
      <c r="E11" s="7"/>
      <c r="F11" s="7"/>
      <c r="G11" s="7"/>
      <c r="H11" s="7"/>
      <c r="I11" s="7"/>
      <c r="J11" s="35"/>
    </row>
    <row r="12" spans="1:10" x14ac:dyDescent="0.25">
      <c r="A12" s="1"/>
      <c r="C12" s="7"/>
      <c r="D12" s="7"/>
      <c r="E12" s="7"/>
      <c r="F12" s="7"/>
      <c r="G12" s="7"/>
      <c r="H12" s="7"/>
      <c r="I12" s="7"/>
      <c r="J12" s="35"/>
    </row>
  </sheetData>
  <mergeCells count="2">
    <mergeCell ref="C1:I1"/>
    <mergeCell ref="C6:I6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="131" zoomScaleNormal="131" workbookViewId="0">
      <selection activeCell="D16" sqref="D16"/>
    </sheetView>
  </sheetViews>
  <sheetFormatPr baseColWidth="10" defaultColWidth="10.875" defaultRowHeight="15" x14ac:dyDescent="0.25"/>
  <cols>
    <col min="1" max="1" width="31.375" style="25" customWidth="1"/>
    <col min="2" max="2" width="33.875" style="25" customWidth="1"/>
    <col min="3" max="3" width="18.625" style="25" customWidth="1"/>
    <col min="4" max="4" width="47.375" style="25" customWidth="1"/>
    <col min="5" max="5" width="10.875" style="25"/>
    <col min="6" max="6" width="24.875" style="25" customWidth="1"/>
    <col min="7" max="7" width="10.875" style="25"/>
    <col min="8" max="8" width="42.875" style="25" customWidth="1"/>
    <col min="9" max="16384" width="10.875" style="25"/>
  </cols>
  <sheetData>
    <row r="1" spans="1:4" x14ac:dyDescent="0.25">
      <c r="A1" s="44" t="s">
        <v>80</v>
      </c>
      <c r="B1" s="44" t="s">
        <v>81</v>
      </c>
      <c r="C1" s="44" t="s">
        <v>111</v>
      </c>
      <c r="D1" s="44" t="s">
        <v>25</v>
      </c>
    </row>
    <row r="2" spans="1:4" ht="18" x14ac:dyDescent="0.35">
      <c r="A2" s="51" t="s">
        <v>127</v>
      </c>
      <c r="B2" s="25">
        <v>25</v>
      </c>
    </row>
    <row r="3" spans="1:4" ht="18" x14ac:dyDescent="0.35">
      <c r="A3" s="51" t="s">
        <v>128</v>
      </c>
      <c r="B3" s="25">
        <f>25/20</f>
        <v>1.25</v>
      </c>
    </row>
    <row r="4" spans="1:4" x14ac:dyDescent="0.25">
      <c r="A4" s="25" t="s">
        <v>44</v>
      </c>
      <c r="B4" s="25">
        <v>10</v>
      </c>
      <c r="D4" s="25" t="s">
        <v>40</v>
      </c>
    </row>
    <row r="5" spans="1:4" x14ac:dyDescent="0.25">
      <c r="A5" s="25" t="s">
        <v>43</v>
      </c>
      <c r="B5" s="25">
        <v>20</v>
      </c>
      <c r="C5" s="25">
        <v>1.01</v>
      </c>
      <c r="D5" s="25" t="s">
        <v>40</v>
      </c>
    </row>
    <row r="6" spans="1:4" x14ac:dyDescent="0.25">
      <c r="A6" s="25" t="s">
        <v>42</v>
      </c>
      <c r="B6" s="25">
        <v>10</v>
      </c>
      <c r="C6" s="25">
        <v>1.07</v>
      </c>
      <c r="D6" s="25" t="s">
        <v>40</v>
      </c>
    </row>
    <row r="7" spans="1:4" x14ac:dyDescent="0.25">
      <c r="A7" s="25" t="s">
        <v>41</v>
      </c>
      <c r="B7" s="25">
        <v>12</v>
      </c>
      <c r="C7" s="30">
        <v>0.97640000000000005</v>
      </c>
      <c r="D7" s="25" t="s">
        <v>40</v>
      </c>
    </row>
    <row r="8" spans="1:4" ht="18" x14ac:dyDescent="0.35">
      <c r="A8" s="28" t="s">
        <v>139</v>
      </c>
      <c r="B8" s="28">
        <v>11.3</v>
      </c>
      <c r="C8" s="28"/>
      <c r="D8" s="28" t="s">
        <v>39</v>
      </c>
    </row>
    <row r="9" spans="1:4" ht="18" x14ac:dyDescent="0.35">
      <c r="A9" s="28" t="s">
        <v>129</v>
      </c>
      <c r="B9" s="28">
        <v>13.5</v>
      </c>
      <c r="D9" s="28" t="s">
        <v>38</v>
      </c>
    </row>
    <row r="10" spans="1:4" ht="18" x14ac:dyDescent="0.35">
      <c r="A10" s="51" t="s">
        <v>130</v>
      </c>
      <c r="B10" s="25">
        <v>1.28</v>
      </c>
      <c r="D10" s="25" t="s">
        <v>83</v>
      </c>
    </row>
    <row r="11" spans="1:4" ht="18" x14ac:dyDescent="0.35">
      <c r="A11" s="51" t="s">
        <v>131</v>
      </c>
      <c r="B11" s="25">
        <v>1.25</v>
      </c>
      <c r="D11" s="25" t="s">
        <v>83</v>
      </c>
    </row>
    <row r="12" spans="1:4" ht="18" x14ac:dyDescent="0.35">
      <c r="A12" s="27" t="s">
        <v>132</v>
      </c>
      <c r="B12" s="25">
        <v>1.19</v>
      </c>
      <c r="D12" s="25" t="s">
        <v>83</v>
      </c>
    </row>
    <row r="15" spans="1:4" ht="18" x14ac:dyDescent="0.35">
      <c r="A15" s="51" t="s">
        <v>133</v>
      </c>
      <c r="B15" s="25">
        <v>0.15190999999999999</v>
      </c>
    </row>
    <row r="16" spans="1:4" ht="18" x14ac:dyDescent="0.35">
      <c r="A16" s="51" t="s">
        <v>134</v>
      </c>
      <c r="B16" s="25">
        <v>0.18407000000000001</v>
      </c>
    </row>
    <row r="19" spans="1:9" ht="15.75" x14ac:dyDescent="0.25">
      <c r="A19" s="44" t="s">
        <v>82</v>
      </c>
      <c r="B19" s="44" t="s">
        <v>81</v>
      </c>
      <c r="C19" s="44" t="s">
        <v>140</v>
      </c>
      <c r="D19"/>
      <c r="F19"/>
      <c r="G19"/>
      <c r="H19"/>
      <c r="I19"/>
    </row>
    <row r="20" spans="1:9" s="45" customFormat="1" ht="18" x14ac:dyDescent="0.35">
      <c r="A20" s="52" t="s">
        <v>135</v>
      </c>
      <c r="B20" s="46">
        <f>(B15*C20*B2)+(B6*(1-(B15*C20)))</f>
        <v>12.278649999999999</v>
      </c>
      <c r="C20" s="45">
        <v>1</v>
      </c>
    </row>
    <row r="21" spans="1:9" s="45" customFormat="1" ht="18" x14ac:dyDescent="0.35">
      <c r="A21" s="52" t="s">
        <v>136</v>
      </c>
      <c r="B21" s="46">
        <f>(B15*C21*B2)+(B6*(1-(B15*C21)))</f>
        <v>14.5573</v>
      </c>
      <c r="C21" s="45">
        <v>2</v>
      </c>
    </row>
    <row r="22" spans="1:9" s="45" customFormat="1" ht="18" x14ac:dyDescent="0.35">
      <c r="A22" s="52" t="s">
        <v>137</v>
      </c>
      <c r="B22" s="46">
        <f>(B15*C22*B2)+(B6*(1-(B15*C22)))</f>
        <v>16.835949999999997</v>
      </c>
      <c r="C22" s="45">
        <v>3</v>
      </c>
    </row>
    <row r="23" spans="1:9" s="45" customFormat="1" ht="18" x14ac:dyDescent="0.35">
      <c r="A23" s="52" t="s">
        <v>138</v>
      </c>
      <c r="B23" s="46">
        <f>(B15*C23*B2)+(B6*(1-(B15*C23)))</f>
        <v>19.114599999999999</v>
      </c>
      <c r="C23" s="45">
        <v>4</v>
      </c>
    </row>
    <row r="24" spans="1:9" x14ac:dyDescent="0.25">
      <c r="B24" s="26"/>
    </row>
    <row r="25" spans="1:9" ht="15.75" x14ac:dyDescent="0.25">
      <c r="A25"/>
      <c r="B25"/>
      <c r="C25"/>
    </row>
    <row r="26" spans="1:9" ht="15.75" x14ac:dyDescent="0.25">
      <c r="A26"/>
      <c r="B26"/>
      <c r="C26"/>
    </row>
    <row r="27" spans="1:9" ht="15.75" x14ac:dyDescent="0.25">
      <c r="A27"/>
      <c r="B27"/>
      <c r="C27"/>
    </row>
    <row r="32" spans="1:9" ht="15.75" x14ac:dyDescent="0.25">
      <c r="A32"/>
      <c r="B32"/>
      <c r="C32"/>
      <c r="D32"/>
    </row>
    <row r="33" spans="1:4" ht="15.75" x14ac:dyDescent="0.25">
      <c r="A33"/>
      <c r="B33"/>
      <c r="C33"/>
      <c r="D33"/>
    </row>
    <row r="34" spans="1:4" ht="15.75" x14ac:dyDescent="0.25">
      <c r="A34"/>
      <c r="B34"/>
      <c r="C34"/>
      <c r="D34"/>
    </row>
    <row r="35" spans="1:4" ht="15.75" x14ac:dyDescent="0.25">
      <c r="A35"/>
      <c r="B35"/>
      <c r="C35"/>
      <c r="D35"/>
    </row>
    <row r="36" spans="1:4" ht="15.75" x14ac:dyDescent="0.25">
      <c r="A36"/>
      <c r="B36"/>
      <c r="C36"/>
      <c r="D36"/>
    </row>
    <row r="37" spans="1:4" ht="15.75" x14ac:dyDescent="0.25">
      <c r="A37"/>
      <c r="B37"/>
      <c r="C37"/>
      <c r="D37"/>
    </row>
    <row r="38" spans="1:4" ht="15.75" x14ac:dyDescent="0.25">
      <c r="A38"/>
      <c r="B38"/>
      <c r="C38"/>
      <c r="D38"/>
    </row>
    <row r="39" spans="1:4" ht="15.75" x14ac:dyDescent="0.25">
      <c r="A39"/>
      <c r="B39"/>
      <c r="C39"/>
      <c r="D39"/>
    </row>
    <row r="40" spans="1:4" ht="15.75" x14ac:dyDescent="0.25">
      <c r="A40"/>
      <c r="B40"/>
      <c r="C40"/>
      <c r="D40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15" zoomScaleNormal="115" workbookViewId="0">
      <selection activeCell="F1" sqref="F1:G1"/>
    </sheetView>
  </sheetViews>
  <sheetFormatPr baseColWidth="10" defaultRowHeight="15.75" x14ac:dyDescent="0.25"/>
  <cols>
    <col min="1" max="1" width="51.625" customWidth="1"/>
    <col min="6" max="6" width="34" customWidth="1"/>
  </cols>
  <sheetData>
    <row r="1" spans="1:7" x14ac:dyDescent="0.25">
      <c r="A1" t="s">
        <v>160</v>
      </c>
      <c r="B1" s="134">
        <v>7.5614622641509499E-3</v>
      </c>
      <c r="F1" t="s">
        <v>162</v>
      </c>
      <c r="G1">
        <v>192</v>
      </c>
    </row>
    <row r="2" spans="1:7" x14ac:dyDescent="0.25">
      <c r="A2" t="s">
        <v>161</v>
      </c>
      <c r="B2" s="22">
        <f>B1/G1*G3*1000</f>
        <v>5.9861576257861682</v>
      </c>
      <c r="F2" s="135" t="s">
        <v>164</v>
      </c>
      <c r="G2" s="135">
        <v>1E-3</v>
      </c>
    </row>
    <row r="3" spans="1:7" x14ac:dyDescent="0.25">
      <c r="A3" t="s">
        <v>163</v>
      </c>
      <c r="B3" s="22">
        <f>B2*1.2</f>
        <v>7.1833891509434018</v>
      </c>
      <c r="F3" t="s">
        <v>166</v>
      </c>
      <c r="G3">
        <v>152</v>
      </c>
    </row>
    <row r="4" spans="1:7" x14ac:dyDescent="0.25">
      <c r="A4" t="s">
        <v>165</v>
      </c>
      <c r="B4" s="22">
        <f>G6+G9</f>
        <v>0.50220799999999999</v>
      </c>
      <c r="F4" t="s">
        <v>168</v>
      </c>
      <c r="G4" s="22">
        <v>21.3</v>
      </c>
    </row>
    <row r="5" spans="1:7" x14ac:dyDescent="0.25">
      <c r="A5" t="s">
        <v>167</v>
      </c>
      <c r="B5" s="22">
        <f>B3-B4</f>
        <v>6.6811811509434023</v>
      </c>
      <c r="F5" t="s">
        <v>170</v>
      </c>
      <c r="G5">
        <v>30</v>
      </c>
    </row>
    <row r="6" spans="1:7" x14ac:dyDescent="0.25">
      <c r="A6" s="135" t="s">
        <v>169</v>
      </c>
      <c r="B6" s="135">
        <v>80</v>
      </c>
      <c r="F6" s="137" t="s">
        <v>172</v>
      </c>
      <c r="G6" s="138">
        <f>G4/10000*G2*G3*1000*G5/100</f>
        <v>9.7127999999999992E-2</v>
      </c>
    </row>
    <row r="7" spans="1:7" x14ac:dyDescent="0.25">
      <c r="A7" s="135" t="s">
        <v>171</v>
      </c>
      <c r="B7" s="136">
        <f>(B5*100/B6)/(G3*1000*G2)*10000</f>
        <v>549.43923938679291</v>
      </c>
      <c r="F7" t="s">
        <v>173</v>
      </c>
      <c r="G7">
        <v>65</v>
      </c>
    </row>
    <row r="8" spans="1:7" x14ac:dyDescent="0.25">
      <c r="F8" t="s">
        <v>175</v>
      </c>
      <c r="G8">
        <v>41</v>
      </c>
    </row>
    <row r="9" spans="1:7" x14ac:dyDescent="0.25">
      <c r="A9" t="s">
        <v>174</v>
      </c>
      <c r="B9" s="22">
        <f>(B3/1000)/(G2*G3)*1000</f>
        <v>47.25913915094344</v>
      </c>
      <c r="F9" s="137" t="s">
        <v>176</v>
      </c>
      <c r="G9" s="138">
        <f>G7/10000*G2*G3*1000*G8/100</f>
        <v>0.40508000000000005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Energy and Cost</vt:lpstr>
      <vt:lpstr>From Stack to Cell </vt:lpstr>
      <vt:lpstr>Mass and Volume Share</vt:lpstr>
      <vt:lpstr>Electrolyte Costs</vt:lpstr>
      <vt:lpstr>Separator thickness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Meet</cp:lastModifiedBy>
  <dcterms:created xsi:type="dcterms:W3CDTF">2016-07-06T08:57:22Z</dcterms:created>
  <dcterms:modified xsi:type="dcterms:W3CDTF">2018-08-28T18:29:16Z</dcterms:modified>
</cp:coreProperties>
</file>